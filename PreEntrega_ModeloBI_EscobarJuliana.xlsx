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696fc6d0055864/Desktop/Curso excel/"/>
    </mc:Choice>
  </mc:AlternateContent>
  <xr:revisionPtr revIDLastSave="528" documentId="8_{69772F58-C696-40FD-95FB-AC025C7ADBBF}" xr6:coauthVersionLast="47" xr6:coauthVersionMax="47" xr10:uidLastSave="{37AF803B-DE05-4216-89E8-8DB88865DE35}"/>
  <bookViews>
    <workbookView xWindow="-110" yWindow="-110" windowWidth="19420" windowHeight="11500" firstSheet="3" activeTab="4" xr2:uid="{4357E6FB-D73C-4880-B4F2-1F3B0F087D0C}"/>
  </bookViews>
  <sheets>
    <sheet name="TD_Venta_periodo" sheetId="9" r:id="rId1"/>
    <sheet name="TD_Venta_producto" sheetId="10" r:id="rId2"/>
    <sheet name="TD_Venta_cliente" sheetId="11" r:id="rId3"/>
    <sheet name="Ventas" sheetId="2" r:id="rId4"/>
    <sheet name="Dashboard final" sheetId="8" r:id="rId5"/>
    <sheet name="Resumen del escenario" sheetId="7" r:id="rId6"/>
    <sheet name="Escenarios" sheetId="6" r:id="rId7"/>
    <sheet name="Medidas DAX" sheetId="5" r:id="rId8"/>
    <sheet name="Clientes" sheetId="1" r:id="rId9"/>
    <sheet name="Productos" sheetId="3" r:id="rId10"/>
    <sheet name="Calendario" sheetId="4" r:id="rId11"/>
  </sheets>
  <definedNames>
    <definedName name="_xlcn.WorksheetConnection_PreEntrega_ModeloBI_EscobarJuliana.xlsxCalendario" hidden="1">Calendario[]</definedName>
    <definedName name="_xlcn.WorksheetConnection_PreEntrega_ModeloBI_EscobarJuliana.xlsxClientes" hidden="1">Clientes[]</definedName>
    <definedName name="_xlcn.WorksheetConnection_PreEntrega_ModeloBI_EscobarJuliana.xlsxHechosVentas" hidden="1">HechosVentas[]</definedName>
    <definedName name="_xlcn.WorksheetConnection_PreEntrega_ModeloBI_EscobarJuliana.xlsxProductos" hidden="1">Productos[]</definedName>
    <definedName name="DatosExternos_1" localSheetId="3" hidden="1">Ventas!$A$1:$J$41</definedName>
    <definedName name="NativeTimeline_Fecha">#N/A</definedName>
    <definedName name="SegmentaciónDeDatos_ID_Producto">#N/A</definedName>
    <definedName name="SegmentaciónDeDatos_Meses__Fecha">#N/A</definedName>
  </definedNames>
  <calcPr calcId="191029"/>
  <pivotCaches>
    <pivotCache cacheId="0" r:id="rId12"/>
    <pivotCache cacheId="1" r:id="rId13"/>
    <pivotCache cacheId="2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os" name="Productos" connection="WorksheetConnection_PreEntrega_ModeloBI_EscobarJuliana.xlsx!Productos"/>
          <x15:modelTable id="HechosVentas" name="HechosVentas" connection="WorksheetConnection_PreEntrega_ModeloBI_EscobarJuliana.xlsx!HechosVentas"/>
          <x15:modelTable id="Clientes" name="Clientes" connection="WorksheetConnection_PreEntrega_ModeloBI_EscobarJuliana.xlsx!Clientes"/>
          <x15:modelTable id="Calendario" name="Calendario" connection="WorksheetConnection_PreEntrega_ModeloBI_EscobarJuliana.xlsx!Calendario"/>
        </x15:modelTables>
        <x15:modelRelationships>
          <x15:modelRelationship fromTable="HechosVentas" fromColumn="ID_Cliente" toTable="Clientes" toColumn="ID_Cliente"/>
          <x15:modelRelationship fromTable="HechosVentas" fromColumn="ID_Producto" toTable="Productos" toColumn="ID_Producto"/>
          <x15:modelRelationship fromTable="Calendario" fromColumn="Fecha" toTable="HechosVentas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6" l="1"/>
  <c r="A84" i="4" l="1"/>
  <c r="A85" i="4" s="1"/>
  <c r="A86" i="4" s="1"/>
  <c r="A87" i="4" s="1"/>
  <c r="A88" i="4" s="1"/>
  <c r="A89" i="4" s="1"/>
  <c r="A90" i="4" s="1"/>
  <c r="A91" i="4" s="1"/>
  <c r="A81" i="4"/>
  <c r="A82" i="4"/>
  <c r="A83" i="4"/>
  <c r="A69" i="4"/>
  <c r="A70" i="4"/>
  <c r="A71" i="4"/>
  <c r="A72" i="4"/>
  <c r="A73" i="4"/>
  <c r="A74" i="4"/>
  <c r="A75" i="4"/>
  <c r="A76" i="4"/>
  <c r="A77" i="4"/>
  <c r="A78" i="4"/>
  <c r="A79" i="4"/>
  <c r="A80" i="4"/>
  <c r="A59" i="4"/>
  <c r="A60" i="4" s="1"/>
  <c r="A61" i="4" s="1"/>
  <c r="A62" i="4" s="1"/>
  <c r="A63" i="4" s="1"/>
  <c r="A64" i="4" s="1"/>
  <c r="A65" i="4" s="1"/>
  <c r="A66" i="4" s="1"/>
  <c r="A67" i="4" s="1"/>
  <c r="A68" i="4" s="1"/>
  <c r="A55" i="4"/>
  <c r="A56" i="4" s="1"/>
  <c r="A57" i="4" s="1"/>
  <c r="A58" i="4" s="1"/>
  <c r="A52" i="4"/>
  <c r="A53" i="4"/>
  <c r="A54" i="4"/>
  <c r="A38" i="4"/>
  <c r="A39" i="4"/>
  <c r="A40" i="4"/>
  <c r="A41" i="4"/>
  <c r="A42" i="4"/>
  <c r="A43" i="4" s="1"/>
  <c r="A44" i="4" s="1"/>
  <c r="A45" i="4" s="1"/>
  <c r="A46" i="4" s="1"/>
  <c r="A47" i="4" s="1"/>
  <c r="A48" i="4" s="1"/>
  <c r="A49" i="4" s="1"/>
  <c r="A50" i="4" s="1"/>
  <c r="A51" i="4" s="1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 s="1"/>
  <c r="A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D1AD0-5D0F-481C-9E10-1CDB29088851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2" xr16:uid="{E6CAF1C7-8AEF-4409-B934-A0F7788801C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DC6A41C-C228-46E4-9FD6-07E522080E70}" name="WorksheetConnection_PreEntrega_ModeloBI_EscobarJuliana.xlsx!Calendario" type="102" refreshedVersion="8" minRefreshableVersion="5">
    <extLst>
      <ext xmlns:x15="http://schemas.microsoft.com/office/spreadsheetml/2010/11/main" uri="{DE250136-89BD-433C-8126-D09CA5730AF9}">
        <x15:connection id="Calendario">
          <x15:rangePr sourceName="_xlcn.WorksheetConnection_PreEntrega_ModeloBI_EscobarJuliana.xlsxCalendario"/>
        </x15:connection>
      </ext>
    </extLst>
  </connection>
  <connection id="4" xr16:uid="{4EB61F37-4F62-488F-BA8D-7AEC5531D86E}" name="WorksheetConnection_PreEntrega_ModeloBI_EscobarJuliana.xlsx!Clientes" type="102" refreshedVersion="8" minRefreshableVersion="5">
    <extLst>
      <ext xmlns:x15="http://schemas.microsoft.com/office/spreadsheetml/2010/11/main" uri="{DE250136-89BD-433C-8126-D09CA5730AF9}">
        <x15:connection id="Clientes">
          <x15:rangePr sourceName="_xlcn.WorksheetConnection_PreEntrega_ModeloBI_EscobarJuliana.xlsxClientes"/>
        </x15:connection>
      </ext>
    </extLst>
  </connection>
  <connection id="5" xr16:uid="{1B5FD6D0-B2C2-4626-B02F-22B29FCF0445}" name="WorksheetConnection_PreEntrega_ModeloBI_EscobarJuliana.xlsx!HechosVentas" type="102" refreshedVersion="8" minRefreshableVersion="5">
    <extLst>
      <ext xmlns:x15="http://schemas.microsoft.com/office/spreadsheetml/2010/11/main" uri="{DE250136-89BD-433C-8126-D09CA5730AF9}">
        <x15:connection id="HechosVentas">
          <x15:rangePr sourceName="_xlcn.WorksheetConnection_PreEntrega_ModeloBI_EscobarJuliana.xlsxHechosVentas"/>
        </x15:connection>
      </ext>
    </extLst>
  </connection>
  <connection id="6" xr16:uid="{84727D2C-4C27-459F-8790-48DFE5962314}" name="WorksheetConnection_PreEntrega_ModeloBI_EscobarJuliana.xlsx!Productos" type="102" refreshedVersion="8" minRefreshableVersion="5">
    <extLst>
      <ext xmlns:x15="http://schemas.microsoft.com/office/spreadsheetml/2010/11/main" uri="{DE250136-89BD-433C-8126-D09CA5730AF9}">
        <x15:connection id="Productos">
          <x15:rangePr sourceName="_xlcn.WorksheetConnection_PreEntrega_ModeloBI_EscobarJuliana.xlsxProductos"/>
        </x15:connection>
      </ext>
    </extLst>
  </connection>
</connections>
</file>

<file path=xl/sharedStrings.xml><?xml version="1.0" encoding="utf-8"?>
<sst xmlns="http://schemas.openxmlformats.org/spreadsheetml/2006/main" count="210" uniqueCount="99">
  <si>
    <t>ID_Venta</t>
  </si>
  <si>
    <t>Fecha</t>
  </si>
  <si>
    <t>ID_Cliente</t>
  </si>
  <si>
    <t>ID_Producto</t>
  </si>
  <si>
    <t>Cantidad</t>
  </si>
  <si>
    <t>Precio_Unitario</t>
  </si>
  <si>
    <t>Costo_Unitario</t>
  </si>
  <si>
    <t>C001</t>
  </si>
  <si>
    <t>P001</t>
  </si>
  <si>
    <t>C002</t>
  </si>
  <si>
    <t>P003</t>
  </si>
  <si>
    <t>C003</t>
  </si>
  <si>
    <t>P002</t>
  </si>
  <si>
    <t>P004</t>
  </si>
  <si>
    <t>C004</t>
  </si>
  <si>
    <t>C005</t>
  </si>
  <si>
    <t>P005</t>
  </si>
  <si>
    <t>Ventas_Brutas</t>
  </si>
  <si>
    <t>Costo_Total</t>
  </si>
  <si>
    <t>Columna1</t>
  </si>
  <si>
    <t>Cliente</t>
  </si>
  <si>
    <t>Ciudad</t>
  </si>
  <si>
    <t>Ana</t>
  </si>
  <si>
    <t>Morón</t>
  </si>
  <si>
    <t>Juan</t>
  </si>
  <si>
    <t>Castelar</t>
  </si>
  <si>
    <t>María</t>
  </si>
  <si>
    <t>Haedo</t>
  </si>
  <si>
    <t>Pedro</t>
  </si>
  <si>
    <t>Ituzaingó</t>
  </si>
  <si>
    <t>Laura</t>
  </si>
  <si>
    <t>Merlo</t>
  </si>
  <si>
    <t>Producto</t>
  </si>
  <si>
    <t>Categoría</t>
  </si>
  <si>
    <t>Remera</t>
  </si>
  <si>
    <t>Ropa</t>
  </si>
  <si>
    <t>Pantalón</t>
  </si>
  <si>
    <t>Zapatillas</t>
  </si>
  <si>
    <t>Calzado</t>
  </si>
  <si>
    <t>Campera</t>
  </si>
  <si>
    <t>Mochila</t>
  </si>
  <si>
    <t>Accesorios</t>
  </si>
  <si>
    <t>Margen Neto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</si>
  <si>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</si>
  <si>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</si>
  <si>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</si>
  <si>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</si>
  <si>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</si>
  <si>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</si>
  <si>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</si>
  <si>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</si>
  <si>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</si>
  <si>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</si>
  <si>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</si>
  <si>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</si>
  <si>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</si>
  <si>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Valor</t>
  </si>
  <si>
    <t>Ventas Totales</t>
  </si>
  <si>
    <t>Variable</t>
  </si>
  <si>
    <t>Tasa de costo</t>
  </si>
  <si>
    <t>Ventas totales</t>
  </si>
  <si>
    <t>Costos actuales</t>
  </si>
  <si>
    <t>Margen neto escenarios</t>
  </si>
  <si>
    <t>Escenario</t>
  </si>
  <si>
    <t>Margen neto</t>
  </si>
  <si>
    <t>Pesimista</t>
  </si>
  <si>
    <t>Base</t>
  </si>
  <si>
    <t>Optimista</t>
  </si>
  <si>
    <t>$B$2</t>
  </si>
  <si>
    <t>$B$6</t>
  </si>
  <si>
    <t>Creado por Juliana Escobar el 16/9/2026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</si>
  <si>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</si>
  <si>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</si>
  <si>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</si>
  <si>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</si>
  <si>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</si>
  <si>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</si>
  <si>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</si>
  <si>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Dashboard final</t>
  </si>
  <si>
    <t>Ventas por período</t>
  </si>
  <si>
    <t>Ventas por producto</t>
  </si>
  <si>
    <t>Filtros</t>
  </si>
  <si>
    <t>Etiquetas de fila</t>
  </si>
  <si>
    <t>Total general</t>
  </si>
  <si>
    <t>ene</t>
  </si>
  <si>
    <t>Suma de Ventas_Brutas</t>
  </si>
  <si>
    <t>Ventas por cliente</t>
  </si>
  <si>
    <t>Enero presenta el mayor nivel de ventas brutas dentro de los períodos analizados, lo que evidencia una concentración de las ventas en ese período.</t>
  </si>
  <si>
    <r>
      <t xml:space="preserve">El producto </t>
    </r>
    <r>
      <rPr>
        <b/>
        <sz val="11"/>
        <color theme="1"/>
        <rFont val="Aptos Narrow"/>
        <family val="2"/>
        <scheme val="minor"/>
      </rPr>
      <t>P003</t>
    </r>
    <r>
      <rPr>
        <sz val="11"/>
        <color theme="1"/>
        <rFont val="Aptos Narrow"/>
        <family val="2"/>
        <scheme val="minor"/>
      </rPr>
      <t xml:space="preserve"> registra el mayor nivel de ventas brutas entre los productos analizados, por lo que representa el principal componente de la facturación por producto.</t>
    </r>
  </si>
  <si>
    <r>
      <t xml:space="preserve">El cliente </t>
    </r>
    <r>
      <rPr>
        <b/>
        <sz val="11"/>
        <color theme="1"/>
        <rFont val="Aptos Narrow"/>
        <family val="2"/>
        <scheme val="minor"/>
      </rPr>
      <t>C003</t>
    </r>
    <r>
      <rPr>
        <sz val="11"/>
        <color theme="1"/>
        <rFont val="Aptos Narrow"/>
        <family val="2"/>
        <scheme val="minor"/>
      </rPr>
      <t xml:space="preserve"> concentra el mayor nivel de ventas brutas entre los clientes analizados, evidenciando una distribución de las ventas que no es uniforme entre la cartera de clientes.</t>
    </r>
  </si>
  <si>
    <t>Evolución temporal</t>
  </si>
  <si>
    <t xml:space="preserve"> Productos</t>
  </si>
  <si>
    <t xml:space="preserve"> Clientes</t>
  </si>
  <si>
    <t>ANÁLISIS CRÍTICO – DEVIL'S ADVOCATE</t>
  </si>
  <si>
    <t xml:space="preserve">Ropa </t>
  </si>
  <si>
    <t xml:space="preserve">Calzado </t>
  </si>
  <si>
    <t>Lista_categoria</t>
  </si>
  <si>
    <t>Categoria</t>
  </si>
  <si>
    <t>Margen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</si>
</sst>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3" fillId="0" borderId="2" xfId="0" applyFont="1" applyBorder="1" applyAlignment="1">
      <alignment horizontal="centerContinuous"/>
    </xf>
    <xf numFmtId="9" fontId="0" fillId="0" borderId="0" xfId="0" applyNumberFormat="1"/>
    <xf numFmtId="0" fontId="4" fillId="2" borderId="5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4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9" fontId="0" fillId="4" borderId="0" xfId="0" applyNumberFormat="1" applyFill="1"/>
    <xf numFmtId="0" fontId="8" fillId="0" borderId="0" xfId="0" applyFont="1" applyAlignment="1">
      <alignment vertical="top" wrapText="1"/>
    </xf>
    <xf numFmtId="0" fontId="1" fillId="5" borderId="6" xfId="0" applyFont="1" applyFill="1" applyBorder="1"/>
    <xf numFmtId="0" fontId="12" fillId="5" borderId="6" xfId="0" applyFont="1" applyFill="1" applyBorder="1"/>
    <xf numFmtId="0" fontId="1" fillId="0" borderId="0" xfId="0" applyFont="1"/>
    <xf numFmtId="0" fontId="11" fillId="5" borderId="6" xfId="0" applyFont="1" applyFill="1" applyBorder="1"/>
    <xf numFmtId="0" fontId="1" fillId="5" borderId="0" xfId="0" applyFont="1" applyFill="1"/>
    <xf numFmtId="9" fontId="11" fillId="5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/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d/m/yyyy"/>
    </dxf>
    <dxf>
      <font>
        <sz val="16"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microsoft.com/office/2011/relationships/timelineCache" Target="timelineCaches/timelineCach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[PreEntrega_ModeloBI_EscobarJuliana.xlsx]TD_Venta_periodo!TablaDinámica1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TD_Venta_periodo!$B$3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TD_Venta_periodo!$A$4:$A$5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TD_Venta_periodo!$B$4:$B$5</c:f>
              <c:numCache>
                <c:formatCode>General</c:formatCode>
                <c:ptCount val="1"/>
                <c:pt idx="0">
                  <c:v>738000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3-45CF-805E-22725D31A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596431"/>
        <c:axId val="15647119"/>
      </c:barChart>
      <c:catAx>
        <c:axId val="46659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47119"/>
        <c:crosses val="autoZero"/>
        <c:auto val="1"/>
        <c:lblAlgn val="ctr"/>
        <c:lblOffset val="100"/>
        <c:noMultiLvlLbl val="0"/>
      </c:catAx>
      <c:valAx>
        <c:axId val="156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659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[PreEntrega_ModeloBI_EscobarJuliana.xlsx]TD_Venta_producto!TablaDinámica2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TD_Venta_producto!$B$3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TD_Venta_producto!$A$4:$A$9</c:f>
              <c:strCache>
                <c:ptCount val="5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</c:strCache>
            </c:strRef>
          </c:cat>
          <c:val>
            <c:numRef>
              <c:f>TD_Venta_producto!$B$4:$B$9</c:f>
              <c:numCache>
                <c:formatCode>General</c:formatCode>
                <c:ptCount val="5"/>
                <c:pt idx="0">
                  <c:v>90000</c:v>
                </c:pt>
                <c:pt idx="1">
                  <c:v>108000</c:v>
                </c:pt>
                <c:pt idx="2">
                  <c:v>150000</c:v>
                </c:pt>
                <c:pt idx="3">
                  <c:v>210000</c:v>
                </c:pt>
                <c:pt idx="4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9-4C49-956F-ACD883327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57119"/>
        <c:axId val="15635599"/>
      </c:barChart>
      <c:catAx>
        <c:axId val="14075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5599"/>
        <c:crosses val="autoZero"/>
        <c:auto val="1"/>
        <c:lblAlgn val="ctr"/>
        <c:lblOffset val="100"/>
        <c:noMultiLvlLbl val="0"/>
      </c:catAx>
      <c:valAx>
        <c:axId val="1563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75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[PreEntrega_ModeloBI_EscobarJuliana.xlsx]TD_Venta_cliente!TablaDinámica3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TD_Venta_cliente!$B$3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TD_Venta_cliente!$A$4:$A$9</c:f>
              <c:strCache>
                <c:ptCount val="5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</c:strCache>
            </c:strRef>
          </c:cat>
          <c:val>
            <c:numRef>
              <c:f>TD_Venta_cliente!$B$4:$B$9</c:f>
              <c:numCache>
                <c:formatCode>General</c:formatCode>
                <c:ptCount val="5"/>
                <c:pt idx="0">
                  <c:v>190000</c:v>
                </c:pt>
                <c:pt idx="1">
                  <c:v>159000</c:v>
                </c:pt>
                <c:pt idx="2">
                  <c:v>153000</c:v>
                </c:pt>
                <c:pt idx="3">
                  <c:v>116000</c:v>
                </c:pt>
                <c:pt idx="4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7-44FF-BD0C-BA06353B4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951871"/>
        <c:axId val="15622159"/>
      </c:barChart>
      <c:catAx>
        <c:axId val="58395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2159"/>
        <c:crosses val="autoZero"/>
        <c:auto val="1"/>
        <c:lblAlgn val="ctr"/>
        <c:lblOffset val="100"/>
        <c:noMultiLvlLbl val="0"/>
      </c:catAx>
      <c:valAx>
        <c:axId val="1562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395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8</xdr:row>
      <xdr:rowOff>146050</xdr:rowOff>
    </xdr:from>
    <xdr:to>
      <xdr:col>4</xdr:col>
      <xdr:colOff>76200</xdr:colOff>
      <xdr:row>18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A571F6-26F2-44C4-B9AA-1C95CF20C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22</xdr:row>
      <xdr:rowOff>95250</xdr:rowOff>
    </xdr:from>
    <xdr:to>
      <xdr:col>5</xdr:col>
      <xdr:colOff>139700</xdr:colOff>
      <xdr:row>31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1EB4CA-9DD1-4271-B182-C7D454F61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</xdr:colOff>
      <xdr:row>8</xdr:row>
      <xdr:rowOff>177800</xdr:rowOff>
    </xdr:from>
    <xdr:to>
      <xdr:col>10</xdr:col>
      <xdr:colOff>165100</xdr:colOff>
      <xdr:row>19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AAE5C7-7B0D-446C-AA08-2FBE3E3DC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209550</xdr:colOff>
      <xdr:row>33</xdr:row>
      <xdr:rowOff>146050</xdr:rowOff>
    </xdr:from>
    <xdr:to>
      <xdr:col>1</xdr:col>
      <xdr:colOff>838200</xdr:colOff>
      <xdr:row>48</xdr:row>
      <xdr:rowOff>3172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es (Fecha)">
              <a:extLst>
                <a:ext uri="{FF2B5EF4-FFF2-40B4-BE49-F238E27FC236}">
                  <a16:creationId xmlns:a16="http://schemas.microsoft.com/office/drawing/2014/main" id="{372E16F7-08C3-4DFA-B24D-626427E28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63881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254000</xdr:colOff>
      <xdr:row>33</xdr:row>
      <xdr:rowOff>146050</xdr:rowOff>
    </xdr:from>
    <xdr:to>
      <xdr:col>4</xdr:col>
      <xdr:colOff>317500</xdr:colOff>
      <xdr:row>48</xdr:row>
      <xdr:rowOff>3172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ID_Producto">
              <a:extLst>
                <a:ext uri="{FF2B5EF4-FFF2-40B4-BE49-F238E27FC236}">
                  <a16:creationId xmlns:a16="http://schemas.microsoft.com/office/drawing/2014/main" id="{5E984821-A86E-4CF1-9F07-6C415A6ED4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6800" y="63881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44450</xdr:colOff>
      <xdr:row>59</xdr:row>
      <xdr:rowOff>63500</xdr:rowOff>
    </xdr:from>
    <xdr:to>
      <xdr:col>4</xdr:col>
      <xdr:colOff>482600</xdr:colOff>
      <xdr:row>69</xdr:row>
      <xdr:rowOff>57150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4714ED2-015F-16DC-6E71-612A6B9F159A}"/>
            </a:ext>
          </a:extLst>
        </xdr:cNvPr>
        <xdr:cNvSpPr txBox="1"/>
      </xdr:nvSpPr>
      <xdr:spPr>
        <a:xfrm>
          <a:off x="44450" y="11093450"/>
          <a:ext cx="4286250" cy="183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/>
            <a:t>Las tendencias observadas son descriptivas y no permiten establecer relaciones causales. El mayor nivel de ventas de enero podría estar influido por estacionalidad, promociones o concentración de operaciones. Asimismo, el predominio de P003 puede estar relacionado con su precio unitario y no necesariamente con una mayor cantidad de unidades vendidas. La concentración de ventas en C003 podría deberse a operaciones puntuales de alto valor o a la frecuencia de compra. Por ello, sería necesario analizar variables adicionales como cantidad vendida, precio unitario y frecuencia de operaciones para profundizar las conclusiones.</a:t>
          </a:r>
          <a:endParaRPr lang="es-AR" sz="1100"/>
        </a:p>
      </xdr:txBody>
    </xdr:sp>
    <xdr:clientData/>
  </xdr:twoCellAnchor>
  <xdr:twoCellAnchor editAs="oneCell">
    <xdr:from>
      <xdr:col>5</xdr:col>
      <xdr:colOff>863600</xdr:colOff>
      <xdr:row>26</xdr:row>
      <xdr:rowOff>6350</xdr:rowOff>
    </xdr:from>
    <xdr:to>
      <xdr:col>9</xdr:col>
      <xdr:colOff>133350</xdr:colOff>
      <xdr:row>33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">
              <a:extLst>
                <a:ext uri="{FF2B5EF4-FFF2-40B4-BE49-F238E27FC236}">
                  <a16:creationId xmlns:a16="http://schemas.microsoft.com/office/drawing/2014/main" id="{0FF68CB8-7BB2-81A5-C317-8CDB1DD35A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4350" y="49911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a Escobar" refreshedDate="46281.432533796295" createdVersion="8" refreshedVersion="8" minRefreshableVersion="3" recordCount="40" xr:uid="{646E6DC3-7672-45C9-952D-599123B53C7D}">
  <cacheSource type="worksheet">
    <worksheetSource name="HechosVentas"/>
  </cacheSource>
  <cacheFields count="11">
    <cacheField name="ID_Venta" numFmtId="0">
      <sharedItems containsSemiMixedTypes="0" containsString="0" containsNumber="1" containsInteger="1" minValue="1" maxValue="40"/>
    </cacheField>
    <cacheField name="Fecha" numFmtId="14">
      <sharedItems containsSemiMixedTypes="0" containsNonDate="0" containsDate="1" containsString="0" minDate="2026-01-01T00:00:00" maxDate="2026-03-31T00:00:00" count="40">
        <d v="2026-01-01T00:00:00"/>
        <d v="2026-01-02T00:00:00"/>
        <d v="2026-01-03T00:00:00"/>
        <d v="2026-01-05T00:00:00"/>
        <d v="2026-01-07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7T00:00:00"/>
        <d v="2026-01-30T00:00:00"/>
        <d v="2026-02-02T00:00:00"/>
        <d v="2026-02-04T00:00:00"/>
        <d v="2026-02-06T00:00:00"/>
        <d v="2026-02-09T00:00:00"/>
        <d v="2026-02-11T00:00:00"/>
        <d v="2026-02-14T00:00:00"/>
        <d v="2026-02-16T00:00:00"/>
        <d v="2026-02-18T00:00:00"/>
        <d v="2026-02-21T00:00:00"/>
        <d v="2026-02-24T00:00:00"/>
        <d v="2026-02-26T00:00:00"/>
        <d v="2026-02-28T00:00:00"/>
        <d v="2026-03-03T00:00:00"/>
        <d v="2026-03-05T00:00:00"/>
        <d v="2026-03-08T00:00:00"/>
        <d v="2026-03-10T00:00:00"/>
        <d v="2026-03-12T00:00:00"/>
        <d v="2026-03-15T00:00:00"/>
        <d v="2026-03-17T00:00:00"/>
        <d v="2026-03-20T00:00:00"/>
        <d v="2026-03-22T00:00:00"/>
        <d v="2026-03-24T00:00:00"/>
        <d v="2026-03-26T00:00:00"/>
        <d v="2026-03-28T00:00:00"/>
        <d v="2026-03-30T00:00:00"/>
      </sharedItems>
      <fieldGroup par="10"/>
    </cacheField>
    <cacheField name="ID_Cliente" numFmtId="0">
      <sharedItems count="5">
        <s v="C001"/>
        <s v="C002"/>
        <s v="C003"/>
        <s v="C004"/>
        <s v="C005"/>
      </sharedItems>
    </cacheField>
    <cacheField name="ID_Producto" numFmtId="0">
      <sharedItems count="5">
        <s v="P001"/>
        <s v="P003"/>
        <s v="P002"/>
        <s v="P004"/>
        <s v="P005"/>
      </sharedItems>
    </cacheField>
    <cacheField name="Cantidad" numFmtId="0">
      <sharedItems containsSemiMixedTypes="0" containsString="0" containsNumber="1" containsInteger="1" minValue="1" maxValue="4"/>
    </cacheField>
    <cacheField name="Precio_Unitario" numFmtId="0">
      <sharedItems containsSemiMixedTypes="0" containsString="0" containsNumber="1" containsInteger="1" minValue="12000" maxValue="45000"/>
    </cacheField>
    <cacheField name="Costo_Unitario" numFmtId="0">
      <sharedItems containsSemiMixedTypes="0" containsString="0" containsNumber="1" containsInteger="1" minValue="7000" maxValue="28000"/>
    </cacheField>
    <cacheField name="Ventas_Brutas" numFmtId="0">
      <sharedItems containsSemiMixedTypes="0" containsString="0" containsNumber="1" containsInteger="1" minValue="12000" maxValue="105000"/>
    </cacheField>
    <cacheField name="Costo_Total" numFmtId="0">
      <sharedItems containsSemiMixedTypes="0" containsString="0" containsNumber="1" containsInteger="1" minValue="7000" maxValue="66000"/>
    </cacheField>
    <cacheField name="Días (Fecha)" numFmtId="0" databaseField="0">
      <fieldGroup base="1">
        <rangePr groupBy="days" startDate="2026-01-01T00:00:00" endDate="2026-03-31T00:00:00"/>
        <groupItems count="368">
          <s v="&lt;1/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3/2026"/>
        </groupItems>
      </fieldGroup>
    </cacheField>
    <cacheField name="Meses (Fecha)" numFmtId="0" databaseField="0">
      <fieldGroup base="1">
        <rangePr groupBy="months" startDate="2026-01-01T00:00:00" endDate="2026-03-31T00:00:00"/>
        <groupItems count="14">
          <s v="&lt;1/1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/3/2026"/>
        </groupItems>
      </fieldGroup>
    </cacheField>
  </cacheFields>
  <extLst>
    <ext xmlns:x14="http://schemas.microsoft.com/office/spreadsheetml/2009/9/main" uri="{725AE2AE-9491-48be-B2B4-4EB974FC3084}">
      <x14:pivotCacheDefinition pivotCacheId="13173720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a Escobar" refreshedDate="46293.414010532404" backgroundQuery="1" createdVersion="8" refreshedVersion="8" minRefreshableVersion="3" recordCount="0" supportSubquery="1" supportAdvancedDrill="1" xr:uid="{B7942F74-B2D2-476F-884B-43A826028BA1}">
  <cacheSource type="external" connectionId="2"/>
  <cacheFields count="2">
    <cacheField name="[Measures].[Ventas Totales]" caption="Ventas Totales" numFmtId="0" hierarchy="16" level="32767"/>
    <cacheField name="[Measures].[Margen Neto]" caption="Margen Neto" numFmtId="0" hierarchy="17" level="32767"/>
  </cacheFields>
  <cacheHierarchies count="2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Cliente]" caption="Cliente" attribute="1" defaultMemberUniqueName="[Clientes].[Cliente].[All]" allUniqueName="[Clientes].[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HechosVentas].[ID_Venta]" caption="ID_Venta" attribute="1" defaultMemberUniqueName="[HechosVentas].[ID_Venta].[All]" allUniqueName="[HechosVentas].[ID_Venta].[All]" dimensionUniqueName="[HechosVentas]" displayFolder="" count="0" memberValueDatatype="20" unbalanced="0"/>
    <cacheHierarchy uniqueName="[HechosVentas].[Fecha]" caption="Fecha" attribute="1" time="1" defaultMemberUniqueName="[HechosVentas].[Fecha].[All]" allUniqueName="[HechosVentas].[Fecha].[All]" dimensionUniqueName="[HechosVentas]" displayFolder="" count="0" memberValueDatatype="7" unbalanced="0"/>
    <cacheHierarchy uniqueName="[HechosVentas].[ID_Cliente]" caption="ID_Cliente" attribute="1" defaultMemberUniqueName="[HechosVentas].[ID_Cliente].[All]" allUniqueName="[HechosVentas].[ID_Cliente].[All]" dimensionUniqueName="[HechosVentas]" displayFolder="" count="0" memberValueDatatype="130" unbalanced="0"/>
    <cacheHierarchy uniqueName="[HechosVentas].[ID_Producto]" caption="ID_Producto" attribute="1" defaultMemberUniqueName="[HechosVentas].[ID_Producto].[All]" allUniqueName="[HechosVentas].[ID_Producto].[All]" dimensionUniqueName="[HechosVentas]" displayFolder="" count="0" memberValueDatatype="130" unbalanced="0"/>
    <cacheHierarchy uniqueName="[HechosVentas].[Cantidad]" caption="Cantidad" attribute="1" defaultMemberUniqueName="[HechosVentas].[Cantidad].[All]" allUniqueName="[HechosVentas].[Cantidad].[All]" dimensionUniqueName="[HechosVentas]" displayFolder="" count="0" memberValueDatatype="20" unbalanced="0"/>
    <cacheHierarchy uniqueName="[HechosVentas].[Precio_Unitario]" caption="Precio_Unitario" attribute="1" defaultMemberUniqueName="[HechosVentas].[Precio_Unitario].[All]" allUniqueName="[HechosVentas].[Precio_Unitario].[All]" dimensionUniqueName="[HechosVentas]" displayFolder="" count="0" memberValueDatatype="20" unbalanced="0"/>
    <cacheHierarchy uniqueName="[HechosVentas].[Costo_Unitario]" caption="Costo_Unitario" attribute="1" defaultMemberUniqueName="[HechosVentas].[Costo_Unitario].[All]" allUniqueName="[HechosVentas].[Costo_Unitario].[All]" dimensionUniqueName="[HechosVentas]" displayFolder="" count="0" memberValueDatatype="20" unbalanced="0"/>
    <cacheHierarchy uniqueName="[HechosVentas].[Ventas_Brutas]" caption="Ventas_Brutas" attribute="1" defaultMemberUniqueName="[HechosVentas].[Ventas_Brutas].[All]" allUniqueName="[HechosVentas].[Ventas_Brutas].[All]" dimensionUniqueName="[HechosVentas]" displayFolder="" count="0" memberValueDatatype="20" unbalanced="0"/>
    <cacheHierarchy uniqueName="[HechosVentas].[Costo_Total]" caption="Costo_Total" attribute="1" defaultMemberUniqueName="[HechosVentas].[Costo_Total].[All]" allUniqueName="[HechosVentas].[Costo_Total].[All]" dimensionUniqueName="[HechosVentas]" displayFolder="" count="0" memberValueDatatype="2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Measures].[Ventas Totales]" caption="Ventas Totales" measure="1" displayFolder="" measureGroup="HechosVentas" count="0" oneField="1">
      <fieldsUsage count="1">
        <fieldUsage x="0"/>
      </fieldsUsage>
    </cacheHierarchy>
    <cacheHierarchy uniqueName="[Measures].[Margen Neto]" caption="Margen Neto" measure="1" displayFolder="" measureGroup="HechosVentas" count="0" oneField="1">
      <fieldsUsage count="1">
        <fieldUsage x="1"/>
      </fieldsUsage>
    </cacheHierarchy>
    <cacheHierarchy uniqueName="[Measures].[Margen %]" caption="Margen %" measure="1" displayFolder="" measureGroup="HechosVentas" count="0"/>
    <cacheHierarchy uniqueName="[Measures].[Transacciones]" caption="Transacciones" measure="1" displayFolder="" measureGroup="HechosVentas" count="0"/>
    <cacheHierarchy uniqueName="[Measures].[__XL_Count HechosVentas]" caption="__XL_Count HechosVentas" measure="1" displayFolder="" measureGroup="HechosVentas" count="0" hidden="1"/>
    <cacheHierarchy uniqueName="[Measures].[__XL_Count Clientes]" caption="__XL_Count Clientes" measure="1" displayFolder="" measureGroup="Cliente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name="HechosVentas" uniqueName="[HechosVentas]" caption="HechosVentas"/>
    <dimension measure="1" name="Measures" uniqueName="[Measures]" caption="Measures"/>
    <dimension name="Productos" uniqueName="[Productos]" caption="Productos"/>
  </dimensions>
  <measureGroups count="4">
    <measureGroup name="Calendario" caption="Calendario"/>
    <measureGroup name="Clientes" caption="Clientes"/>
    <measureGroup name="HechosVentas" caption="HechosVentas"/>
    <measureGroup name="Productos" caption="Productos"/>
  </measureGroups>
  <maps count="9">
    <map measureGroup="0" dimension="0"/>
    <map measureGroup="0" dimension="1"/>
    <map measureGroup="0" dimension="2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a Escobar" refreshedDate="46293.425704398149" backgroundQuery="1" createdVersion="8" refreshedVersion="8" minRefreshableVersion="3" recordCount="0" supportSubquery="1" supportAdvancedDrill="1" xr:uid="{B18DE1D7-CE08-4E08-B399-019A394CE8A3}">
  <cacheSource type="external" connectionId="2"/>
  <cacheFields count="1">
    <cacheField name="[Measures].[Margen %]" caption="Margen %" numFmtId="0" hierarchy="18" level="32767"/>
  </cacheFields>
  <cacheHierarchies count="2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Cliente]" caption="Cliente" attribute="1" defaultMemberUniqueName="[Clientes].[Cliente].[All]" allUniqueName="[Clientes].[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HechosVentas].[ID_Venta]" caption="ID_Venta" attribute="1" defaultMemberUniqueName="[HechosVentas].[ID_Venta].[All]" allUniqueName="[HechosVentas].[ID_Venta].[All]" dimensionUniqueName="[HechosVentas]" displayFolder="" count="0" memberValueDatatype="20" unbalanced="0"/>
    <cacheHierarchy uniqueName="[HechosVentas].[Fecha]" caption="Fecha" attribute="1" time="1" defaultMemberUniqueName="[HechosVentas].[Fecha].[All]" allUniqueName="[HechosVentas].[Fecha].[All]" dimensionUniqueName="[HechosVentas]" displayFolder="" count="0" memberValueDatatype="7" unbalanced="0"/>
    <cacheHierarchy uniqueName="[HechosVentas].[ID_Cliente]" caption="ID_Cliente" attribute="1" defaultMemberUniqueName="[HechosVentas].[ID_Cliente].[All]" allUniqueName="[HechosVentas].[ID_Cliente].[All]" dimensionUniqueName="[HechosVentas]" displayFolder="" count="0" memberValueDatatype="130" unbalanced="0"/>
    <cacheHierarchy uniqueName="[HechosVentas].[ID_Producto]" caption="ID_Producto" attribute="1" defaultMemberUniqueName="[HechosVentas].[ID_Producto].[All]" allUniqueName="[HechosVentas].[ID_Producto].[All]" dimensionUniqueName="[HechosVentas]" displayFolder="" count="0" memberValueDatatype="130" unbalanced="0"/>
    <cacheHierarchy uniqueName="[HechosVentas].[Cantidad]" caption="Cantidad" attribute="1" defaultMemberUniqueName="[HechosVentas].[Cantidad].[All]" allUniqueName="[HechosVentas].[Cantidad].[All]" dimensionUniqueName="[HechosVentas]" displayFolder="" count="0" memberValueDatatype="20" unbalanced="0"/>
    <cacheHierarchy uniqueName="[HechosVentas].[Precio_Unitario]" caption="Precio_Unitario" attribute="1" defaultMemberUniqueName="[HechosVentas].[Precio_Unitario].[All]" allUniqueName="[HechosVentas].[Precio_Unitario].[All]" dimensionUniqueName="[HechosVentas]" displayFolder="" count="0" memberValueDatatype="20" unbalanced="0"/>
    <cacheHierarchy uniqueName="[HechosVentas].[Costo_Unitario]" caption="Costo_Unitario" attribute="1" defaultMemberUniqueName="[HechosVentas].[Costo_Unitario].[All]" allUniqueName="[HechosVentas].[Costo_Unitario].[All]" dimensionUniqueName="[HechosVentas]" displayFolder="" count="0" memberValueDatatype="20" unbalanced="0"/>
    <cacheHierarchy uniqueName="[HechosVentas].[Ventas_Brutas]" caption="Ventas_Brutas" attribute="1" defaultMemberUniqueName="[HechosVentas].[Ventas_Brutas].[All]" allUniqueName="[HechosVentas].[Ventas_Brutas].[All]" dimensionUniqueName="[HechosVentas]" displayFolder="" count="0" memberValueDatatype="20" unbalanced="0"/>
    <cacheHierarchy uniqueName="[HechosVentas].[Costo_Total]" caption="Costo_Total" attribute="1" defaultMemberUniqueName="[HechosVentas].[Costo_Total].[All]" allUniqueName="[HechosVentas].[Costo_Total].[All]" dimensionUniqueName="[HechosVentas]" displayFolder="" count="0" memberValueDatatype="2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Measures].[Ventas Totales]" caption="Ventas Totales" measure="1" displayFolder="" measureGroup="HechosVentas" count="0"/>
    <cacheHierarchy uniqueName="[Measures].[Margen Neto]" caption="Margen Neto" measure="1" displayFolder="" measureGroup="HechosVentas" count="0"/>
    <cacheHierarchy uniqueName="[Measures].[Margen %]" caption="Margen %" measure="1" displayFolder="" measureGroup="HechosVentas" count="0" oneField="1">
      <fieldsUsage count="1">
        <fieldUsage x="0"/>
      </fieldsUsage>
    </cacheHierarchy>
    <cacheHierarchy uniqueName="[Measures].[Transacciones]" caption="Transacciones" measure="1" displayFolder="" measureGroup="HechosVentas" count="0"/>
    <cacheHierarchy uniqueName="[Measures].[__XL_Count HechosVentas]" caption="__XL_Count HechosVentas" measure="1" displayFolder="" measureGroup="HechosVentas" count="0" hidden="1"/>
    <cacheHierarchy uniqueName="[Measures].[__XL_Count Clientes]" caption="__XL_Count Clientes" measure="1" displayFolder="" measureGroup="Cliente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name="HechosVentas" uniqueName="[HechosVentas]" caption="HechosVentas"/>
    <dimension measure="1" name="Measures" uniqueName="[Measures]" caption="Measures"/>
    <dimension name="Productos" uniqueName="[Productos]" caption="Productos"/>
  </dimensions>
  <measureGroups count="4">
    <measureGroup name="Calendario" caption="Calendario"/>
    <measureGroup name="Clientes" caption="Clientes"/>
    <measureGroup name="HechosVentas" caption="HechosVentas"/>
    <measureGroup name="Productos" caption="Productos"/>
  </measureGroups>
  <maps count="9">
    <map measureGroup="0" dimension="0"/>
    <map measureGroup="0" dimension="1"/>
    <map measureGroup="0" dimension="2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x v="0"/>
    <n v="2"/>
    <n v="15000"/>
    <n v="9000"/>
    <n v="30000"/>
    <n v="18000"/>
  </r>
  <r>
    <n v="2"/>
    <x v="1"/>
    <x v="1"/>
    <x v="1"/>
    <n v="1"/>
    <n v="30000"/>
    <n v="18000"/>
    <n v="30000"/>
    <n v="18000"/>
  </r>
  <r>
    <n v="3"/>
    <x v="2"/>
    <x v="2"/>
    <x v="2"/>
    <n v="4"/>
    <n v="12000"/>
    <n v="7000"/>
    <n v="48000"/>
    <n v="28000"/>
  </r>
  <r>
    <n v="4"/>
    <x v="3"/>
    <x v="0"/>
    <x v="3"/>
    <n v="2"/>
    <n v="35000"/>
    <n v="22000"/>
    <n v="70000"/>
    <n v="44000"/>
  </r>
  <r>
    <n v="5"/>
    <x v="4"/>
    <x v="3"/>
    <x v="0"/>
    <n v="3"/>
    <n v="15000"/>
    <n v="9000"/>
    <n v="45000"/>
    <n v="27000"/>
  </r>
  <r>
    <n v="6"/>
    <x v="5"/>
    <x v="4"/>
    <x v="4"/>
    <n v="1"/>
    <n v="45000"/>
    <n v="28000"/>
    <n v="45000"/>
    <n v="28000"/>
  </r>
  <r>
    <n v="7"/>
    <x v="6"/>
    <x v="1"/>
    <x v="2"/>
    <n v="2"/>
    <n v="12000"/>
    <n v="7000"/>
    <n v="24000"/>
    <n v="14000"/>
  </r>
  <r>
    <n v="8"/>
    <x v="7"/>
    <x v="2"/>
    <x v="1"/>
    <n v="2"/>
    <n v="30000"/>
    <n v="18000"/>
    <n v="60000"/>
    <n v="36000"/>
  </r>
  <r>
    <n v="9"/>
    <x v="8"/>
    <x v="3"/>
    <x v="3"/>
    <n v="1"/>
    <n v="35000"/>
    <n v="22000"/>
    <n v="35000"/>
    <n v="22000"/>
  </r>
  <r>
    <n v="10"/>
    <x v="9"/>
    <x v="0"/>
    <x v="4"/>
    <n v="2"/>
    <n v="45000"/>
    <n v="28000"/>
    <n v="90000"/>
    <n v="56000"/>
  </r>
  <r>
    <n v="11"/>
    <x v="10"/>
    <x v="4"/>
    <x v="0"/>
    <n v="1"/>
    <n v="15000"/>
    <n v="9000"/>
    <n v="15000"/>
    <n v="9000"/>
  </r>
  <r>
    <n v="12"/>
    <x v="11"/>
    <x v="1"/>
    <x v="3"/>
    <n v="3"/>
    <n v="35000"/>
    <n v="22000"/>
    <n v="105000"/>
    <n v="66000"/>
  </r>
  <r>
    <n v="13"/>
    <x v="12"/>
    <x v="2"/>
    <x v="4"/>
    <n v="1"/>
    <n v="45000"/>
    <n v="28000"/>
    <n v="45000"/>
    <n v="28000"/>
  </r>
  <r>
    <n v="14"/>
    <x v="13"/>
    <x v="3"/>
    <x v="2"/>
    <n v="3"/>
    <n v="12000"/>
    <n v="7000"/>
    <n v="36000"/>
    <n v="21000"/>
  </r>
  <r>
    <n v="15"/>
    <x v="14"/>
    <x v="4"/>
    <x v="1"/>
    <n v="2"/>
    <n v="30000"/>
    <n v="18000"/>
    <n v="60000"/>
    <n v="36000"/>
  </r>
  <r>
    <n v="16"/>
    <x v="15"/>
    <x v="0"/>
    <x v="2"/>
    <n v="2"/>
    <n v="12000"/>
    <n v="7000"/>
    <n v="24000"/>
    <n v="14000"/>
  </r>
  <r>
    <n v="17"/>
    <x v="16"/>
    <x v="1"/>
    <x v="4"/>
    <n v="1"/>
    <n v="45000"/>
    <n v="28000"/>
    <n v="45000"/>
    <n v="28000"/>
  </r>
  <r>
    <n v="18"/>
    <x v="17"/>
    <x v="2"/>
    <x v="0"/>
    <n v="4"/>
    <n v="15000"/>
    <n v="9000"/>
    <n v="60000"/>
    <n v="36000"/>
  </r>
  <r>
    <n v="19"/>
    <x v="18"/>
    <x v="3"/>
    <x v="1"/>
    <n v="1"/>
    <n v="30000"/>
    <n v="18000"/>
    <n v="30000"/>
    <n v="18000"/>
  </r>
  <r>
    <n v="20"/>
    <x v="19"/>
    <x v="4"/>
    <x v="3"/>
    <n v="2"/>
    <n v="35000"/>
    <n v="22000"/>
    <n v="70000"/>
    <n v="44000"/>
  </r>
  <r>
    <n v="21"/>
    <x v="20"/>
    <x v="0"/>
    <x v="1"/>
    <n v="2"/>
    <n v="30000"/>
    <n v="18000"/>
    <n v="60000"/>
    <n v="36000"/>
  </r>
  <r>
    <n v="22"/>
    <x v="21"/>
    <x v="1"/>
    <x v="0"/>
    <n v="3"/>
    <n v="15000"/>
    <n v="9000"/>
    <n v="45000"/>
    <n v="27000"/>
  </r>
  <r>
    <n v="23"/>
    <x v="22"/>
    <x v="2"/>
    <x v="3"/>
    <n v="1"/>
    <n v="35000"/>
    <n v="22000"/>
    <n v="35000"/>
    <n v="22000"/>
  </r>
  <r>
    <n v="24"/>
    <x v="23"/>
    <x v="3"/>
    <x v="4"/>
    <n v="2"/>
    <n v="45000"/>
    <n v="28000"/>
    <n v="90000"/>
    <n v="56000"/>
  </r>
  <r>
    <n v="25"/>
    <x v="24"/>
    <x v="4"/>
    <x v="2"/>
    <n v="4"/>
    <n v="12000"/>
    <n v="7000"/>
    <n v="48000"/>
    <n v="28000"/>
  </r>
  <r>
    <n v="26"/>
    <x v="25"/>
    <x v="0"/>
    <x v="3"/>
    <n v="1"/>
    <n v="35000"/>
    <n v="22000"/>
    <n v="35000"/>
    <n v="22000"/>
  </r>
  <r>
    <n v="27"/>
    <x v="26"/>
    <x v="2"/>
    <x v="1"/>
    <n v="3"/>
    <n v="30000"/>
    <n v="18000"/>
    <n v="90000"/>
    <n v="54000"/>
  </r>
  <r>
    <n v="28"/>
    <x v="27"/>
    <x v="1"/>
    <x v="2"/>
    <n v="2"/>
    <n v="12000"/>
    <n v="7000"/>
    <n v="24000"/>
    <n v="14000"/>
  </r>
  <r>
    <n v="29"/>
    <x v="28"/>
    <x v="3"/>
    <x v="0"/>
    <n v="2"/>
    <n v="15000"/>
    <n v="9000"/>
    <n v="30000"/>
    <n v="18000"/>
  </r>
  <r>
    <n v="30"/>
    <x v="29"/>
    <x v="4"/>
    <x v="4"/>
    <n v="1"/>
    <n v="45000"/>
    <n v="28000"/>
    <n v="45000"/>
    <n v="28000"/>
  </r>
  <r>
    <n v="31"/>
    <x v="30"/>
    <x v="0"/>
    <x v="0"/>
    <n v="3"/>
    <n v="15000"/>
    <n v="9000"/>
    <n v="45000"/>
    <n v="27000"/>
  </r>
  <r>
    <n v="32"/>
    <x v="31"/>
    <x v="1"/>
    <x v="3"/>
    <n v="2"/>
    <n v="35000"/>
    <n v="22000"/>
    <n v="70000"/>
    <n v="44000"/>
  </r>
  <r>
    <n v="33"/>
    <x v="32"/>
    <x v="2"/>
    <x v="4"/>
    <n v="2"/>
    <n v="45000"/>
    <n v="28000"/>
    <n v="90000"/>
    <n v="56000"/>
  </r>
  <r>
    <n v="34"/>
    <x v="33"/>
    <x v="3"/>
    <x v="1"/>
    <n v="3"/>
    <n v="30000"/>
    <n v="18000"/>
    <n v="90000"/>
    <n v="54000"/>
  </r>
  <r>
    <n v="35"/>
    <x v="34"/>
    <x v="4"/>
    <x v="2"/>
    <n v="1"/>
    <n v="12000"/>
    <n v="7000"/>
    <n v="12000"/>
    <n v="7000"/>
  </r>
  <r>
    <n v="36"/>
    <x v="35"/>
    <x v="0"/>
    <x v="4"/>
    <n v="1"/>
    <n v="45000"/>
    <n v="28000"/>
    <n v="45000"/>
    <n v="28000"/>
  </r>
  <r>
    <n v="37"/>
    <x v="36"/>
    <x v="1"/>
    <x v="1"/>
    <n v="2"/>
    <n v="30000"/>
    <n v="18000"/>
    <n v="60000"/>
    <n v="36000"/>
  </r>
  <r>
    <n v="38"/>
    <x v="37"/>
    <x v="2"/>
    <x v="0"/>
    <n v="2"/>
    <n v="15000"/>
    <n v="9000"/>
    <n v="30000"/>
    <n v="18000"/>
  </r>
  <r>
    <n v="39"/>
    <x v="38"/>
    <x v="3"/>
    <x v="3"/>
    <n v="2"/>
    <n v="35000"/>
    <n v="22000"/>
    <n v="70000"/>
    <n v="44000"/>
  </r>
  <r>
    <n v="40"/>
    <x v="39"/>
    <x v="4"/>
    <x v="1"/>
    <n v="1"/>
    <n v="30000"/>
    <n v="18000"/>
    <n v="30000"/>
    <n v="1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43A6E-1DA5-4E11-B041-D6DCF1E39753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5" firstHeaderRow="1" firstDataRow="1" firstDataCol="1"/>
  <pivotFields count="11">
    <pivotField showAll="0"/>
    <pivotField axis="axisRow"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2">
    <i>
      <x v="1"/>
    </i>
    <i t="grand">
      <x/>
    </i>
  </rowItems>
  <colItems count="1">
    <i/>
  </colItems>
  <dataFields count="1">
    <dataField name="Suma de Ventas_Bruta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4" name="Fecha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4B1AA-946C-49C1-A85D-831F72B53AD0}" name="TablaDiná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s_Bruta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61612-DDC9-4E86-962F-2AD6611E1572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s_Bruta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4" name="Fecha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5099D-4F5A-4276-A548-FB7B8CB578B3}" name="TablaDinámica1" cacheId="2" applyNumberFormats="0" applyBorderFormats="0" applyFontFormats="0" applyPatternFormats="0" applyAlignmentFormats="0" applyWidthHeightFormats="1" dataCaption="Valores" tag="e7bec13b-a366-474a-abe4-52eaaf720c43" updatedVersion="8" minRefreshableVersion="3" showDrill="0" useAutoFormatting="1" itemPrintTitles="1" createdVersion="8" indent="0" outline="1" outlineData="1" multipleFieldFilters="0">
  <location ref="G23:G2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2">
    <format dxfId="21">
      <pivotArea dataOnly="0" outline="0" axis="axisValues" fieldPosition="0"/>
    </format>
    <format dxfId="20">
      <pivotArea dataOnly="0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274C7-AD8F-41B2-ABDB-4D765F20230B}" name="TablaDinámica1" cacheId="1" applyNumberFormats="0" applyBorderFormats="0" applyFontFormats="0" applyPatternFormats="0" applyAlignmentFormats="0" applyWidthHeightFormats="1" dataCaption="Valores" tag="8e42421c-ca51-49c7-88cc-45e89ce62f84" updatedVersion="8" minRefreshableVersion="3" useAutoFormatting="1" subtotalHiddenItems="1" itemPrintTitles="1" createdVersion="8" indent="0" outline="1" outlineData="1" multipleFieldFilters="0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Ventas Totales" fld="0" subtotal="count" baseField="0" baseItem="1"/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preserveFormatting="0" connectionId="1" xr16:uid="{7F4970EA-00A2-49E4-A0FF-ACBA195615BA}" autoFormatId="1" applyNumberFormats="0" applyBorderFormats="1" applyFontFormats="1" applyPatternFormats="1" applyAlignmentFormats="1" applyWidthHeightFormats="0">
  <queryTableRefresh nextId="13">
    <queryTableFields count="10">
      <queryTableField id="1" name="ID_Venta" tableColumnId="1"/>
      <queryTableField id="2" name="Fecha" tableColumnId="2"/>
      <queryTableField id="3" name="ID_Cliente" tableColumnId="3"/>
      <queryTableField id="4" name="ID_Producto" tableColumnId="4"/>
      <queryTableField id="12" dataBound="0" tableColumnId="11"/>
      <queryTableField id="5" name="Cantidad" tableColumnId="5"/>
      <queryTableField id="6" name="Precio_Unitario" tableColumnId="6"/>
      <queryTableField id="7" name="Costo_Unitario" tableColumnId="7"/>
      <queryTableField id="8" name="Ventas_Brutas" tableColumnId="8"/>
      <queryTableField id="9" name="Costo_Total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EED0C1DC-62B1-4A48-ADA5-5E647021AB91}" sourceName="Meses (Fecha)">
  <pivotTables>
    <pivotTable tabId="9" name="TablaDinámica1"/>
    <pivotTable tabId="11" name="TablaDinámica3"/>
    <pivotTable tabId="10" name="TablaDinámica2"/>
  </pivotTables>
  <data>
    <tabular pivotCacheId="1317372029">
      <items count="14">
        <i x="1" s="1"/>
        <i x="2" s="1"/>
        <i x="3" s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Producto" xr10:uid="{3118BFAE-E21E-40B2-9BF8-DD3C38810336}" sourceName="ID_Producto">
  <pivotTables>
    <pivotTable tabId="10" name="TablaDinámica2"/>
    <pivotTable tabId="11" name="TablaDinámica3"/>
    <pivotTable tabId="9" name="TablaDinámica1"/>
  </pivotTables>
  <data>
    <tabular pivotCacheId="1317372029">
      <items count="5">
        <i x="0" s="1"/>
        <i x="2" s="1"/>
        <i x="1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)" xr10:uid="{04481DA6-DDA0-4D2A-B65C-1C628CF1DFA0}" cache="SegmentaciónDeDatos_Meses__Fecha" caption="Meses (Fecha)" rowHeight="251883"/>
  <slicer name="ID_Producto" xr10:uid="{BE5B9009-566F-452F-8246-4929AC92C7D2}" cache="SegmentaciónDeDatos_ID_Producto" caption="ID_Producto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9CBCF-0EA7-458F-991A-EC97D64E74AA}" name="HechosVentas" displayName="HechosVentas" ref="A1:J41" tableType="queryTable" totalsRowShown="0">
  <autoFilter ref="A1:J41" xr:uid="{1489CBCF-0EA7-458F-991A-EC97D64E74AA}"/>
  <tableColumns count="10">
    <tableColumn id="1" xr3:uid="{0A02D0AD-398A-4D6A-B3C4-BD552BEE8E19}" uniqueName="1" name="ID_Venta" queryTableFieldId="1"/>
    <tableColumn id="2" xr3:uid="{840AA750-6302-4F76-B737-43780BF5E3DD}" uniqueName="2" name="Fecha" queryTableFieldId="2" dataDxfId="19"/>
    <tableColumn id="3" xr3:uid="{BAD30184-2B6C-4CC0-A5DB-79971CA64CC5}" uniqueName="3" name="ID_Cliente" queryTableFieldId="3" dataDxfId="18"/>
    <tableColumn id="4" xr3:uid="{E5A64BFF-0B15-4EC2-A572-C4BBC7BFED4F}" uniqueName="4" name="ID_Producto" queryTableFieldId="4" dataDxfId="17"/>
    <tableColumn id="11" xr3:uid="{36CABFB0-C7CA-4ED7-B9DF-EC941BA1420C}" uniqueName="11" name="Categoria" queryTableFieldId="12"/>
    <tableColumn id="5" xr3:uid="{C91B6AF7-37B8-45EF-8400-286C87FADC8A}" uniqueName="5" name="Cantidad" queryTableFieldId="5"/>
    <tableColumn id="6" xr3:uid="{0376115F-7EDD-4879-A590-ADDA07D175FC}" uniqueName="6" name="Precio_Unitario" queryTableFieldId="6"/>
    <tableColumn id="7" xr3:uid="{35BD92E8-DE41-435F-B000-8D3BD9462D91}" uniqueName="7" name="Costo_Unitario" queryTableFieldId="7"/>
    <tableColumn id="8" xr3:uid="{B909F5CA-3228-4846-B94E-39D87E7CEC61}" uniqueName="8" name="Ventas_Brutas" queryTableFieldId="8"/>
    <tableColumn id="9" xr3:uid="{ABFE4CCD-1F05-4141-8DBA-DBA734C9E882}" uniqueName="9" name="Costo_Total" queryTableField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A6949-F8B0-4D26-BB58-5653DADF38F6}" name="Clientes" displayName="Clientes" ref="A4:C9" totalsRowShown="0" headerRowDxfId="16" dataDxfId="15">
  <autoFilter ref="A4:C9" xr:uid="{3A4A6949-F8B0-4D26-BB58-5653DADF38F6}"/>
  <tableColumns count="3">
    <tableColumn id="1" xr3:uid="{15D292D8-4DA9-47D6-B021-A879417C55AC}" name="ID_Cliente" dataDxfId="14"/>
    <tableColumn id="2" xr3:uid="{DC18E008-6478-462B-B100-5B0C948ABF4E}" name="Cliente" dataDxfId="13"/>
    <tableColumn id="3" xr3:uid="{FC05ADE8-AF8D-4664-A8DE-6D9D8216FCB4}" name="Ciuda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7E22C0-F5CE-439A-86B9-F7B4DEEFCFAD}" name="Productos" displayName="Productos" ref="A1:C6" totalsRowShown="0" headerRowDxfId="11" dataDxfId="10">
  <autoFilter ref="A1:C6" xr:uid="{0D7E22C0-F5CE-439A-86B9-F7B4DEEFCFAD}"/>
  <tableColumns count="3">
    <tableColumn id="1" xr3:uid="{CEA7E3C5-36EF-4FB1-8C5F-4B7F14634232}" name="ID_Producto" dataDxfId="9"/>
    <tableColumn id="2" xr3:uid="{35772E35-973F-4F55-9CD7-F6FC7C97848E}" name="Producto" dataDxfId="8"/>
    <tableColumn id="3" xr3:uid="{081FB464-6A22-40BB-8DBC-8F691C3EE6B0}" name="Categoría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378284-7350-4130-8551-1C19EF2D85C6}" name="Calendario" displayName="Calendario" ref="A1:A91" totalsRowShown="0">
  <autoFilter ref="A1:A91" xr:uid="{11378284-7350-4130-8551-1C19EF2D85C6}"/>
  <tableColumns count="1">
    <tableColumn id="1" xr3:uid="{5C70B891-1152-44D9-B2DD-317C294ABF55}" name="Fecha" dataDxfId="6">
      <calculatedColumnFormula>A1+1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1A068F0F-EC44-44E9-97A4-7E282D374662}" sourceName="Fecha">
  <pivotTables>
    <pivotTable tabId="10" name="TablaDinámica2"/>
    <pivotTable tabId="11" name="TablaDinámica3"/>
    <pivotTable tabId="9" name="TablaDinámica1"/>
  </pivotTables>
  <state minimalRefreshVersion="6" lastRefreshVersion="6" pivotCacheId="1317372029" filterType="dateBetween">
    <selection startDate="2026-01-01T00:00:00" endDate="2026-01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C945A226-4E21-48EC-9C5E-37B1BBE3CB24}" cache="NativeTimeline_Fecha" caption="Fecha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DD51-5D3D-4E2E-9B62-2A263667437B}">
  <dimension ref="A3:B5"/>
  <sheetViews>
    <sheetView workbookViewId="0">
      <selection activeCell="B15" sqref="B15"/>
    </sheetView>
  </sheetViews>
  <sheetFormatPr baseColWidth="10" defaultRowHeight="14.5" x14ac:dyDescent="0.35"/>
  <cols>
    <col min="1" max="1" width="16.54296875" bestFit="1" customWidth="1"/>
    <col min="2" max="2" width="20.453125" bestFit="1" customWidth="1"/>
  </cols>
  <sheetData>
    <row r="3" spans="1:2" x14ac:dyDescent="0.35">
      <c r="A3" s="25" t="s">
        <v>82</v>
      </c>
      <c r="B3" t="s">
        <v>85</v>
      </c>
    </row>
    <row r="4" spans="1:2" x14ac:dyDescent="0.35">
      <c r="A4" s="26" t="s">
        <v>84</v>
      </c>
      <c r="B4">
        <v>738000</v>
      </c>
    </row>
    <row r="5" spans="1:2" x14ac:dyDescent="0.35">
      <c r="A5" s="26" t="s">
        <v>83</v>
      </c>
      <c r="B5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6400-24A9-4DDA-8588-1E4CE1891FA8}">
  <dimension ref="A3:B9"/>
  <sheetViews>
    <sheetView workbookViewId="0">
      <selection activeCell="A3" sqref="A3"/>
    </sheetView>
  </sheetViews>
  <sheetFormatPr baseColWidth="10" defaultRowHeight="14.5" x14ac:dyDescent="0.35"/>
  <cols>
    <col min="1" max="1" width="16.54296875" bestFit="1" customWidth="1"/>
    <col min="2" max="2" width="20.453125" bestFit="1" customWidth="1"/>
  </cols>
  <sheetData>
    <row r="3" spans="1:2" x14ac:dyDescent="0.35">
      <c r="A3" s="25" t="s">
        <v>82</v>
      </c>
      <c r="B3" t="s">
        <v>85</v>
      </c>
    </row>
    <row r="4" spans="1:2" x14ac:dyDescent="0.35">
      <c r="A4" s="26" t="s">
        <v>8</v>
      </c>
      <c r="B4">
        <v>90000</v>
      </c>
    </row>
    <row r="5" spans="1:2" x14ac:dyDescent="0.35">
      <c r="A5" s="26" t="s">
        <v>12</v>
      </c>
      <c r="B5">
        <v>108000</v>
      </c>
    </row>
    <row r="6" spans="1:2" x14ac:dyDescent="0.35">
      <c r="A6" s="26" t="s">
        <v>10</v>
      </c>
      <c r="B6">
        <v>150000</v>
      </c>
    </row>
    <row r="7" spans="1:2" x14ac:dyDescent="0.35">
      <c r="A7" s="26" t="s">
        <v>13</v>
      </c>
      <c r="B7">
        <v>210000</v>
      </c>
    </row>
    <row r="8" spans="1:2" x14ac:dyDescent="0.35">
      <c r="A8" s="26" t="s">
        <v>16</v>
      </c>
      <c r="B8">
        <v>180000</v>
      </c>
    </row>
    <row r="9" spans="1:2" x14ac:dyDescent="0.35">
      <c r="A9" s="26" t="s">
        <v>83</v>
      </c>
      <c r="B9">
        <v>738000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6A59-AC2B-45A8-A93F-3250BE7791E8}">
  <dimension ref="A3:B9"/>
  <sheetViews>
    <sheetView workbookViewId="0">
      <selection activeCell="A3" sqref="A3"/>
    </sheetView>
  </sheetViews>
  <sheetFormatPr baseColWidth="10" defaultRowHeight="14.5" x14ac:dyDescent="0.35"/>
  <cols>
    <col min="1" max="1" width="16.54296875" bestFit="1" customWidth="1"/>
    <col min="2" max="2" width="20.453125" bestFit="1" customWidth="1"/>
  </cols>
  <sheetData>
    <row r="3" spans="1:2" x14ac:dyDescent="0.35">
      <c r="A3" s="25" t="s">
        <v>82</v>
      </c>
      <c r="B3" t="s">
        <v>85</v>
      </c>
    </row>
    <row r="4" spans="1:2" x14ac:dyDescent="0.35">
      <c r="A4" s="26" t="s">
        <v>7</v>
      </c>
      <c r="B4">
        <v>190000</v>
      </c>
    </row>
    <row r="5" spans="1:2" x14ac:dyDescent="0.35">
      <c r="A5" s="26" t="s">
        <v>9</v>
      </c>
      <c r="B5">
        <v>159000</v>
      </c>
    </row>
    <row r="6" spans="1:2" x14ac:dyDescent="0.35">
      <c r="A6" s="26" t="s">
        <v>11</v>
      </c>
      <c r="B6">
        <v>153000</v>
      </c>
    </row>
    <row r="7" spans="1:2" x14ac:dyDescent="0.35">
      <c r="A7" s="26" t="s">
        <v>14</v>
      </c>
      <c r="B7">
        <v>116000</v>
      </c>
    </row>
    <row r="8" spans="1:2" x14ac:dyDescent="0.35">
      <c r="A8" s="26" t="s">
        <v>15</v>
      </c>
      <c r="B8">
        <v>120000</v>
      </c>
    </row>
    <row r="9" spans="1:2" x14ac:dyDescent="0.35">
      <c r="A9" s="26" t="s">
        <v>83</v>
      </c>
      <c r="B9">
        <v>738000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26F5-1665-40FE-AEF8-FBF49E495B16}">
  <dimension ref="A1:O41"/>
  <sheetViews>
    <sheetView workbookViewId="0">
      <selection activeCell="I4" sqref="I4"/>
    </sheetView>
  </sheetViews>
  <sheetFormatPr baseColWidth="10" defaultRowHeight="14.5" x14ac:dyDescent="0.35"/>
  <cols>
    <col min="1" max="1" width="10.54296875" bestFit="1" customWidth="1"/>
    <col min="2" max="2" width="9.08984375" bestFit="1" customWidth="1"/>
    <col min="3" max="3" width="11.81640625" bestFit="1" customWidth="1"/>
    <col min="4" max="4" width="13.26953125" bestFit="1" customWidth="1"/>
    <col min="5" max="5" width="13.26953125" customWidth="1"/>
    <col min="6" max="6" width="10.81640625" bestFit="1" customWidth="1"/>
    <col min="7" max="7" width="15.90625" bestFit="1" customWidth="1"/>
    <col min="8" max="8" width="15.453125" bestFit="1" customWidth="1"/>
    <col min="9" max="9" width="15" bestFit="1" customWidth="1"/>
    <col min="10" max="10" width="12.81640625" bestFit="1" customWidth="1"/>
  </cols>
  <sheetData>
    <row r="1" spans="1:1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97</v>
      </c>
      <c r="F1" s="6" t="s">
        <v>4</v>
      </c>
      <c r="G1" s="6" t="s">
        <v>5</v>
      </c>
      <c r="H1" s="6" t="s">
        <v>6</v>
      </c>
      <c r="I1" s="6" t="s">
        <v>17</v>
      </c>
      <c r="J1" s="6" t="s">
        <v>18</v>
      </c>
      <c r="N1" s="8" t="s">
        <v>19</v>
      </c>
      <c r="O1" s="8"/>
    </row>
    <row r="2" spans="1:15" x14ac:dyDescent="0.35">
      <c r="A2">
        <v>1</v>
      </c>
      <c r="B2" s="1">
        <v>46023</v>
      </c>
      <c r="C2" t="s">
        <v>7</v>
      </c>
      <c r="D2" t="s">
        <v>8</v>
      </c>
      <c r="F2">
        <v>2</v>
      </c>
      <c r="G2">
        <v>15000</v>
      </c>
      <c r="H2">
        <v>9000</v>
      </c>
      <c r="I2">
        <v>30000</v>
      </c>
      <c r="J2">
        <v>18000</v>
      </c>
    </row>
    <row r="3" spans="1:15" x14ac:dyDescent="0.35">
      <c r="A3">
        <v>2</v>
      </c>
      <c r="B3" s="1">
        <v>46024</v>
      </c>
      <c r="C3" t="s">
        <v>9</v>
      </c>
      <c r="D3" t="s">
        <v>10</v>
      </c>
      <c r="F3">
        <v>1</v>
      </c>
      <c r="G3">
        <v>30000</v>
      </c>
      <c r="H3">
        <v>18000</v>
      </c>
      <c r="I3">
        <v>30000</v>
      </c>
      <c r="J3">
        <v>18000</v>
      </c>
      <c r="N3" t="s">
        <v>43</v>
      </c>
      <c r="O3">
        <v>50275</v>
      </c>
    </row>
    <row r="4" spans="1:15" x14ac:dyDescent="0.35">
      <c r="A4">
        <v>3</v>
      </c>
      <c r="B4" s="1">
        <v>46025</v>
      </c>
      <c r="C4" t="s">
        <v>11</v>
      </c>
      <c r="D4" t="s">
        <v>12</v>
      </c>
      <c r="F4">
        <v>4</v>
      </c>
      <c r="G4">
        <v>12000</v>
      </c>
      <c r="H4">
        <v>7000</v>
      </c>
      <c r="I4">
        <v>48000</v>
      </c>
      <c r="J4">
        <v>28000</v>
      </c>
      <c r="N4" t="s">
        <v>44</v>
      </c>
      <c r="O4">
        <v>3694.9354631607675</v>
      </c>
    </row>
    <row r="5" spans="1:15" x14ac:dyDescent="0.35">
      <c r="A5">
        <v>4</v>
      </c>
      <c r="B5" s="1">
        <v>46027</v>
      </c>
      <c r="C5" t="s">
        <v>7</v>
      </c>
      <c r="D5" t="s">
        <v>13</v>
      </c>
      <c r="F5">
        <v>2</v>
      </c>
      <c r="G5">
        <v>35000</v>
      </c>
      <c r="H5">
        <v>22000</v>
      </c>
      <c r="I5">
        <v>70000</v>
      </c>
      <c r="J5">
        <v>44000</v>
      </c>
      <c r="N5" t="s">
        <v>45</v>
      </c>
      <c r="O5">
        <v>45000</v>
      </c>
    </row>
    <row r="6" spans="1:15" x14ac:dyDescent="0.35">
      <c r="A6">
        <v>5</v>
      </c>
      <c r="B6" s="1">
        <v>46029</v>
      </c>
      <c r="C6" t="s">
        <v>14</v>
      </c>
      <c r="D6" t="s">
        <v>8</v>
      </c>
      <c r="F6">
        <v>3</v>
      </c>
      <c r="G6">
        <v>15000</v>
      </c>
      <c r="H6">
        <v>9000</v>
      </c>
      <c r="I6">
        <v>45000</v>
      </c>
      <c r="J6">
        <v>27000</v>
      </c>
      <c r="N6" t="s">
        <v>46</v>
      </c>
      <c r="O6">
        <v>45000</v>
      </c>
    </row>
    <row r="7" spans="1:15" x14ac:dyDescent="0.35">
      <c r="A7">
        <v>6</v>
      </c>
      <c r="B7" s="1">
        <v>46030</v>
      </c>
      <c r="C7" t="s">
        <v>15</v>
      </c>
      <c r="D7" t="s">
        <v>16</v>
      </c>
      <c r="F7">
        <v>1</v>
      </c>
      <c r="G7">
        <v>45000</v>
      </c>
      <c r="H7">
        <v>28000</v>
      </c>
      <c r="I7">
        <v>45000</v>
      </c>
      <c r="J7">
        <v>28000</v>
      </c>
      <c r="N7" t="s">
        <v>47</v>
      </c>
      <c r="O7">
        <v>23368.8237418344</v>
      </c>
    </row>
    <row r="8" spans="1:15" x14ac:dyDescent="0.35">
      <c r="A8">
        <v>7</v>
      </c>
      <c r="B8" s="1">
        <v>46032</v>
      </c>
      <c r="C8" t="s">
        <v>9</v>
      </c>
      <c r="D8" t="s">
        <v>12</v>
      </c>
      <c r="F8">
        <v>2</v>
      </c>
      <c r="G8">
        <v>12000</v>
      </c>
      <c r="H8">
        <v>7000</v>
      </c>
      <c r="I8">
        <v>24000</v>
      </c>
      <c r="J8">
        <v>14000</v>
      </c>
      <c r="N8" t="s">
        <v>48</v>
      </c>
      <c r="O8">
        <v>546101923.07692313</v>
      </c>
    </row>
    <row r="9" spans="1:15" x14ac:dyDescent="0.35">
      <c r="A9">
        <v>8</v>
      </c>
      <c r="B9" s="1">
        <v>46034</v>
      </c>
      <c r="C9" t="s">
        <v>11</v>
      </c>
      <c r="D9" t="s">
        <v>10</v>
      </c>
      <c r="F9">
        <v>2</v>
      </c>
      <c r="G9">
        <v>30000</v>
      </c>
      <c r="H9">
        <v>18000</v>
      </c>
      <c r="I9">
        <v>60000</v>
      </c>
      <c r="J9">
        <v>36000</v>
      </c>
      <c r="N9" t="s">
        <v>49</v>
      </c>
      <c r="O9">
        <v>-0.39518958529935588</v>
      </c>
    </row>
    <row r="10" spans="1:15" x14ac:dyDescent="0.35">
      <c r="A10">
        <v>9</v>
      </c>
      <c r="B10" s="1">
        <v>46037</v>
      </c>
      <c r="C10" t="s">
        <v>14</v>
      </c>
      <c r="D10" t="s">
        <v>13</v>
      </c>
      <c r="F10">
        <v>1</v>
      </c>
      <c r="G10">
        <v>35000</v>
      </c>
      <c r="H10">
        <v>22000</v>
      </c>
      <c r="I10">
        <v>35000</v>
      </c>
      <c r="J10">
        <v>22000</v>
      </c>
      <c r="N10" t="s">
        <v>50</v>
      </c>
      <c r="O10">
        <v>0.62061959590165006</v>
      </c>
    </row>
    <row r="11" spans="1:15" x14ac:dyDescent="0.35">
      <c r="A11">
        <v>10</v>
      </c>
      <c r="B11" s="1">
        <v>46040</v>
      </c>
      <c r="C11" t="s">
        <v>7</v>
      </c>
      <c r="D11" t="s">
        <v>16</v>
      </c>
      <c r="F11">
        <v>2</v>
      </c>
      <c r="G11">
        <v>45000</v>
      </c>
      <c r="H11">
        <v>28000</v>
      </c>
      <c r="I11">
        <v>90000</v>
      </c>
      <c r="J11">
        <v>56000</v>
      </c>
      <c r="N11" t="s">
        <v>51</v>
      </c>
      <c r="O11">
        <v>93000</v>
      </c>
    </row>
    <row r="12" spans="1:15" x14ac:dyDescent="0.35">
      <c r="A12">
        <v>11</v>
      </c>
      <c r="B12" s="1">
        <v>46042</v>
      </c>
      <c r="C12" t="s">
        <v>15</v>
      </c>
      <c r="D12" t="s">
        <v>8</v>
      </c>
      <c r="F12">
        <v>1</v>
      </c>
      <c r="G12">
        <v>15000</v>
      </c>
      <c r="H12">
        <v>9000</v>
      </c>
      <c r="I12">
        <v>15000</v>
      </c>
      <c r="J12">
        <v>9000</v>
      </c>
      <c r="N12" t="s">
        <v>52</v>
      </c>
      <c r="O12">
        <v>12000</v>
      </c>
    </row>
    <row r="13" spans="1:15" x14ac:dyDescent="0.35">
      <c r="A13">
        <v>12</v>
      </c>
      <c r="B13" s="1">
        <v>46044</v>
      </c>
      <c r="C13" t="s">
        <v>9</v>
      </c>
      <c r="D13" t="s">
        <v>13</v>
      </c>
      <c r="F13">
        <v>3</v>
      </c>
      <c r="G13">
        <v>35000</v>
      </c>
      <c r="H13">
        <v>22000</v>
      </c>
      <c r="I13">
        <v>105000</v>
      </c>
      <c r="J13">
        <v>66000</v>
      </c>
      <c r="N13" t="s">
        <v>53</v>
      </c>
      <c r="O13">
        <v>105000</v>
      </c>
    </row>
    <row r="14" spans="1:15" x14ac:dyDescent="0.35">
      <c r="A14">
        <v>13</v>
      </c>
      <c r="B14" s="1">
        <v>46047</v>
      </c>
      <c r="C14" t="s">
        <v>11</v>
      </c>
      <c r="D14" t="s">
        <v>16</v>
      </c>
      <c r="F14">
        <v>1</v>
      </c>
      <c r="G14">
        <v>45000</v>
      </c>
      <c r="H14">
        <v>28000</v>
      </c>
      <c r="I14">
        <v>45000</v>
      </c>
      <c r="J14">
        <v>28000</v>
      </c>
      <c r="N14" t="s">
        <v>54</v>
      </c>
      <c r="O14">
        <v>2011000</v>
      </c>
    </row>
    <row r="15" spans="1:15" ht="15" thickBot="1" x14ac:dyDescent="0.4">
      <c r="A15">
        <v>14</v>
      </c>
      <c r="B15" s="1">
        <v>46049</v>
      </c>
      <c r="C15" t="s">
        <v>14</v>
      </c>
      <c r="D15" t="s">
        <v>12</v>
      </c>
      <c r="F15">
        <v>3</v>
      </c>
      <c r="G15">
        <v>12000</v>
      </c>
      <c r="H15">
        <v>7000</v>
      </c>
      <c r="I15">
        <v>36000</v>
      </c>
      <c r="J15">
        <v>21000</v>
      </c>
      <c r="N15" s="4" t="s">
        <v>55</v>
      </c>
      <c r="O15" s="4">
        <v>40</v>
      </c>
    </row>
    <row r="16" spans="1:15" x14ac:dyDescent="0.35">
      <c r="A16">
        <v>15</v>
      </c>
      <c r="B16" s="1">
        <v>46052</v>
      </c>
      <c r="C16" t="s">
        <v>15</v>
      </c>
      <c r="D16" t="s">
        <v>10</v>
      </c>
      <c r="F16">
        <v>2</v>
      </c>
      <c r="G16">
        <v>30000</v>
      </c>
      <c r="H16">
        <v>18000</v>
      </c>
      <c r="I16">
        <v>60000</v>
      </c>
      <c r="J16">
        <v>36000</v>
      </c>
    </row>
    <row r="17" spans="1:10" x14ac:dyDescent="0.35">
      <c r="A17">
        <v>16</v>
      </c>
      <c r="B17" s="1">
        <v>46055</v>
      </c>
      <c r="C17" t="s">
        <v>7</v>
      </c>
      <c r="D17" t="s">
        <v>12</v>
      </c>
      <c r="F17">
        <v>2</v>
      </c>
      <c r="G17">
        <v>12000</v>
      </c>
      <c r="H17">
        <v>7000</v>
      </c>
      <c r="I17">
        <v>24000</v>
      </c>
      <c r="J17">
        <v>14000</v>
      </c>
    </row>
    <row r="18" spans="1:10" x14ac:dyDescent="0.35">
      <c r="A18">
        <v>17</v>
      </c>
      <c r="B18" s="1">
        <v>46057</v>
      </c>
      <c r="C18" t="s">
        <v>9</v>
      </c>
      <c r="D18" t="s">
        <v>16</v>
      </c>
      <c r="F18">
        <v>1</v>
      </c>
      <c r="G18">
        <v>45000</v>
      </c>
      <c r="H18">
        <v>28000</v>
      </c>
      <c r="I18">
        <v>45000</v>
      </c>
      <c r="J18">
        <v>28000</v>
      </c>
    </row>
    <row r="19" spans="1:10" x14ac:dyDescent="0.35">
      <c r="A19">
        <v>18</v>
      </c>
      <c r="B19" s="1">
        <v>46059</v>
      </c>
      <c r="C19" t="s">
        <v>11</v>
      </c>
      <c r="D19" t="s">
        <v>8</v>
      </c>
      <c r="F19">
        <v>4</v>
      </c>
      <c r="G19">
        <v>15000</v>
      </c>
      <c r="H19">
        <v>9000</v>
      </c>
      <c r="I19">
        <v>60000</v>
      </c>
      <c r="J19">
        <v>36000</v>
      </c>
    </row>
    <row r="20" spans="1:10" x14ac:dyDescent="0.35">
      <c r="A20">
        <v>19</v>
      </c>
      <c r="B20" s="1">
        <v>46062</v>
      </c>
      <c r="C20" t="s">
        <v>14</v>
      </c>
      <c r="D20" t="s">
        <v>10</v>
      </c>
      <c r="F20">
        <v>1</v>
      </c>
      <c r="G20">
        <v>30000</v>
      </c>
      <c r="H20">
        <v>18000</v>
      </c>
      <c r="I20">
        <v>30000</v>
      </c>
      <c r="J20">
        <v>18000</v>
      </c>
    </row>
    <row r="21" spans="1:10" x14ac:dyDescent="0.35">
      <c r="A21">
        <v>20</v>
      </c>
      <c r="B21" s="1">
        <v>46064</v>
      </c>
      <c r="C21" t="s">
        <v>15</v>
      </c>
      <c r="D21" t="s">
        <v>13</v>
      </c>
      <c r="F21">
        <v>2</v>
      </c>
      <c r="G21">
        <v>35000</v>
      </c>
      <c r="H21">
        <v>22000</v>
      </c>
      <c r="I21">
        <v>70000</v>
      </c>
      <c r="J21">
        <v>44000</v>
      </c>
    </row>
    <row r="22" spans="1:10" x14ac:dyDescent="0.35">
      <c r="A22">
        <v>21</v>
      </c>
      <c r="B22" s="1">
        <v>46067</v>
      </c>
      <c r="C22" t="s">
        <v>7</v>
      </c>
      <c r="D22" t="s">
        <v>10</v>
      </c>
      <c r="F22">
        <v>2</v>
      </c>
      <c r="G22">
        <v>30000</v>
      </c>
      <c r="H22">
        <v>18000</v>
      </c>
      <c r="I22">
        <v>60000</v>
      </c>
      <c r="J22">
        <v>36000</v>
      </c>
    </row>
    <row r="23" spans="1:10" x14ac:dyDescent="0.35">
      <c r="A23">
        <v>22</v>
      </c>
      <c r="B23" s="1">
        <v>46069</v>
      </c>
      <c r="C23" t="s">
        <v>9</v>
      </c>
      <c r="D23" t="s">
        <v>8</v>
      </c>
      <c r="F23">
        <v>3</v>
      </c>
      <c r="G23">
        <v>15000</v>
      </c>
      <c r="H23">
        <v>9000</v>
      </c>
      <c r="I23">
        <v>45000</v>
      </c>
      <c r="J23">
        <v>27000</v>
      </c>
    </row>
    <row r="24" spans="1:10" x14ac:dyDescent="0.35">
      <c r="A24">
        <v>23</v>
      </c>
      <c r="B24" s="1">
        <v>46071</v>
      </c>
      <c r="C24" t="s">
        <v>11</v>
      </c>
      <c r="D24" t="s">
        <v>13</v>
      </c>
      <c r="F24">
        <v>1</v>
      </c>
      <c r="G24">
        <v>35000</v>
      </c>
      <c r="H24">
        <v>22000</v>
      </c>
      <c r="I24">
        <v>35000</v>
      </c>
      <c r="J24">
        <v>22000</v>
      </c>
    </row>
    <row r="25" spans="1:10" x14ac:dyDescent="0.35">
      <c r="A25">
        <v>24</v>
      </c>
      <c r="B25" s="1">
        <v>46074</v>
      </c>
      <c r="C25" t="s">
        <v>14</v>
      </c>
      <c r="D25" t="s">
        <v>16</v>
      </c>
      <c r="F25">
        <v>2</v>
      </c>
      <c r="G25">
        <v>45000</v>
      </c>
      <c r="H25">
        <v>28000</v>
      </c>
      <c r="I25">
        <v>90000</v>
      </c>
      <c r="J25">
        <v>56000</v>
      </c>
    </row>
    <row r="26" spans="1:10" x14ac:dyDescent="0.35">
      <c r="A26">
        <v>25</v>
      </c>
      <c r="B26" s="1">
        <v>46077</v>
      </c>
      <c r="C26" t="s">
        <v>15</v>
      </c>
      <c r="D26" t="s">
        <v>12</v>
      </c>
      <c r="F26">
        <v>4</v>
      </c>
      <c r="G26">
        <v>12000</v>
      </c>
      <c r="H26">
        <v>7000</v>
      </c>
      <c r="I26">
        <v>48000</v>
      </c>
      <c r="J26">
        <v>28000</v>
      </c>
    </row>
    <row r="27" spans="1:10" x14ac:dyDescent="0.35">
      <c r="A27">
        <v>26</v>
      </c>
      <c r="B27" s="1">
        <v>46079</v>
      </c>
      <c r="C27" t="s">
        <v>7</v>
      </c>
      <c r="D27" t="s">
        <v>13</v>
      </c>
      <c r="F27">
        <v>1</v>
      </c>
      <c r="G27">
        <v>35000</v>
      </c>
      <c r="H27">
        <v>22000</v>
      </c>
      <c r="I27">
        <v>35000</v>
      </c>
      <c r="J27">
        <v>22000</v>
      </c>
    </row>
    <row r="28" spans="1:10" x14ac:dyDescent="0.35">
      <c r="A28">
        <v>27</v>
      </c>
      <c r="B28" s="1">
        <v>46081</v>
      </c>
      <c r="C28" t="s">
        <v>11</v>
      </c>
      <c r="D28" t="s">
        <v>10</v>
      </c>
      <c r="F28">
        <v>3</v>
      </c>
      <c r="G28">
        <v>30000</v>
      </c>
      <c r="H28">
        <v>18000</v>
      </c>
      <c r="I28">
        <v>90000</v>
      </c>
      <c r="J28">
        <v>54000</v>
      </c>
    </row>
    <row r="29" spans="1:10" x14ac:dyDescent="0.35">
      <c r="A29">
        <v>28</v>
      </c>
      <c r="B29" s="1">
        <v>46084</v>
      </c>
      <c r="C29" t="s">
        <v>9</v>
      </c>
      <c r="D29" t="s">
        <v>12</v>
      </c>
      <c r="F29">
        <v>2</v>
      </c>
      <c r="G29">
        <v>12000</v>
      </c>
      <c r="H29">
        <v>7000</v>
      </c>
      <c r="I29">
        <v>24000</v>
      </c>
      <c r="J29">
        <v>14000</v>
      </c>
    </row>
    <row r="30" spans="1:10" x14ac:dyDescent="0.35">
      <c r="A30">
        <v>29</v>
      </c>
      <c r="B30" s="1">
        <v>46086</v>
      </c>
      <c r="C30" t="s">
        <v>14</v>
      </c>
      <c r="D30" t="s">
        <v>8</v>
      </c>
      <c r="F30">
        <v>2</v>
      </c>
      <c r="G30">
        <v>15000</v>
      </c>
      <c r="H30">
        <v>9000</v>
      </c>
      <c r="I30">
        <v>30000</v>
      </c>
      <c r="J30">
        <v>18000</v>
      </c>
    </row>
    <row r="31" spans="1:10" x14ac:dyDescent="0.35">
      <c r="A31">
        <v>30</v>
      </c>
      <c r="B31" s="1">
        <v>46089</v>
      </c>
      <c r="C31" t="s">
        <v>15</v>
      </c>
      <c r="D31" t="s">
        <v>16</v>
      </c>
      <c r="F31">
        <v>1</v>
      </c>
      <c r="G31">
        <v>45000</v>
      </c>
      <c r="H31">
        <v>28000</v>
      </c>
      <c r="I31">
        <v>45000</v>
      </c>
      <c r="J31">
        <v>28000</v>
      </c>
    </row>
    <row r="32" spans="1:10" x14ac:dyDescent="0.35">
      <c r="A32">
        <v>31</v>
      </c>
      <c r="B32" s="1">
        <v>46091</v>
      </c>
      <c r="C32" t="s">
        <v>7</v>
      </c>
      <c r="D32" t="s">
        <v>8</v>
      </c>
      <c r="F32">
        <v>3</v>
      </c>
      <c r="G32">
        <v>15000</v>
      </c>
      <c r="H32">
        <v>9000</v>
      </c>
      <c r="I32">
        <v>45000</v>
      </c>
      <c r="J32">
        <v>27000</v>
      </c>
    </row>
    <row r="33" spans="1:10" x14ac:dyDescent="0.35">
      <c r="A33">
        <v>32</v>
      </c>
      <c r="B33" s="1">
        <v>46093</v>
      </c>
      <c r="C33" t="s">
        <v>9</v>
      </c>
      <c r="D33" t="s">
        <v>13</v>
      </c>
      <c r="F33">
        <v>2</v>
      </c>
      <c r="G33">
        <v>35000</v>
      </c>
      <c r="H33">
        <v>22000</v>
      </c>
      <c r="I33">
        <v>70000</v>
      </c>
      <c r="J33">
        <v>44000</v>
      </c>
    </row>
    <row r="34" spans="1:10" x14ac:dyDescent="0.35">
      <c r="A34">
        <v>33</v>
      </c>
      <c r="B34" s="1">
        <v>46096</v>
      </c>
      <c r="C34" t="s">
        <v>11</v>
      </c>
      <c r="D34" t="s">
        <v>16</v>
      </c>
      <c r="F34">
        <v>2</v>
      </c>
      <c r="G34">
        <v>45000</v>
      </c>
      <c r="H34">
        <v>28000</v>
      </c>
      <c r="I34">
        <v>90000</v>
      </c>
      <c r="J34">
        <v>56000</v>
      </c>
    </row>
    <row r="35" spans="1:10" x14ac:dyDescent="0.35">
      <c r="A35">
        <v>34</v>
      </c>
      <c r="B35" s="1">
        <v>46098</v>
      </c>
      <c r="C35" t="s">
        <v>14</v>
      </c>
      <c r="D35" t="s">
        <v>10</v>
      </c>
      <c r="F35">
        <v>3</v>
      </c>
      <c r="G35">
        <v>30000</v>
      </c>
      <c r="H35">
        <v>18000</v>
      </c>
      <c r="I35">
        <v>90000</v>
      </c>
      <c r="J35">
        <v>54000</v>
      </c>
    </row>
    <row r="36" spans="1:10" x14ac:dyDescent="0.35">
      <c r="A36">
        <v>35</v>
      </c>
      <c r="B36" s="1">
        <v>46101</v>
      </c>
      <c r="C36" t="s">
        <v>15</v>
      </c>
      <c r="D36" t="s">
        <v>12</v>
      </c>
      <c r="F36">
        <v>1</v>
      </c>
      <c r="G36">
        <v>12000</v>
      </c>
      <c r="H36">
        <v>7000</v>
      </c>
      <c r="I36">
        <v>12000</v>
      </c>
      <c r="J36">
        <v>7000</v>
      </c>
    </row>
    <row r="37" spans="1:10" x14ac:dyDescent="0.35">
      <c r="A37">
        <v>36</v>
      </c>
      <c r="B37" s="1">
        <v>46103</v>
      </c>
      <c r="C37" t="s">
        <v>7</v>
      </c>
      <c r="D37" t="s">
        <v>16</v>
      </c>
      <c r="F37">
        <v>1</v>
      </c>
      <c r="G37">
        <v>45000</v>
      </c>
      <c r="H37">
        <v>28000</v>
      </c>
      <c r="I37">
        <v>45000</v>
      </c>
      <c r="J37">
        <v>28000</v>
      </c>
    </row>
    <row r="38" spans="1:10" x14ac:dyDescent="0.35">
      <c r="A38">
        <v>37</v>
      </c>
      <c r="B38" s="1">
        <v>46105</v>
      </c>
      <c r="C38" t="s">
        <v>9</v>
      </c>
      <c r="D38" t="s">
        <v>10</v>
      </c>
      <c r="F38">
        <v>2</v>
      </c>
      <c r="G38">
        <v>30000</v>
      </c>
      <c r="H38">
        <v>18000</v>
      </c>
      <c r="I38">
        <v>60000</v>
      </c>
      <c r="J38">
        <v>36000</v>
      </c>
    </row>
    <row r="39" spans="1:10" x14ac:dyDescent="0.35">
      <c r="A39">
        <v>38</v>
      </c>
      <c r="B39" s="1">
        <v>46107</v>
      </c>
      <c r="C39" t="s">
        <v>11</v>
      </c>
      <c r="D39" t="s">
        <v>8</v>
      </c>
      <c r="F39">
        <v>2</v>
      </c>
      <c r="G39">
        <v>15000</v>
      </c>
      <c r="H39">
        <v>9000</v>
      </c>
      <c r="I39">
        <v>30000</v>
      </c>
      <c r="J39">
        <v>18000</v>
      </c>
    </row>
    <row r="40" spans="1:10" x14ac:dyDescent="0.35">
      <c r="A40">
        <v>39</v>
      </c>
      <c r="B40" s="1">
        <v>46109</v>
      </c>
      <c r="C40" t="s">
        <v>14</v>
      </c>
      <c r="D40" t="s">
        <v>13</v>
      </c>
      <c r="F40">
        <v>2</v>
      </c>
      <c r="G40">
        <v>35000</v>
      </c>
      <c r="H40">
        <v>22000</v>
      </c>
      <c r="I40">
        <v>70000</v>
      </c>
      <c r="J40">
        <v>44000</v>
      </c>
    </row>
    <row r="41" spans="1:10" ht="15" thickBot="1" x14ac:dyDescent="0.4">
      <c r="A41" s="4">
        <v>40</v>
      </c>
      <c r="B41" s="5">
        <v>46111</v>
      </c>
      <c r="C41" s="4" t="s">
        <v>15</v>
      </c>
      <c r="D41" s="4" t="s">
        <v>10</v>
      </c>
      <c r="E41" s="4"/>
      <c r="F41" s="4">
        <v>1</v>
      </c>
      <c r="G41" s="4">
        <v>30000</v>
      </c>
      <c r="H41" s="4">
        <v>18000</v>
      </c>
      <c r="I41" s="4">
        <v>30000</v>
      </c>
      <c r="J41" s="4">
        <v>18000</v>
      </c>
    </row>
  </sheetData>
  <phoneticPr fontId="2" type="noConversion"/>
  <dataValidations count="1">
    <dataValidation type="date" allowBlank="1" showInputMessage="1" showErrorMessage="1" sqref="B2:B41" xr:uid="{FCE89106-0173-49CF-9167-53B5737987AB}">
      <formula1>46023</formula1>
      <formula2>46387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C714DF-5440-4FB6-9F2C-87E73CFF3E29}">
          <x14:formula1>
            <xm:f>Productos!$E$2:$E$4</xm:f>
          </x14:formula1>
          <xm:sqref>E2:E41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2947-AC1F-4CF6-B419-844AE8B66172}">
  <dimension ref="A1:N59"/>
  <sheetViews>
    <sheetView showGridLines="0" showRowColHeaders="0" tabSelected="1" topLeftCell="A48" zoomScaleNormal="100" workbookViewId="0">
      <selection activeCell="H28" sqref="H28"/>
    </sheetView>
  </sheetViews>
  <sheetFormatPr baseColWidth="10" defaultRowHeight="14.5" x14ac:dyDescent="0.35"/>
  <cols>
    <col min="1" max="1" width="17.1796875" bestFit="1" customWidth="1"/>
    <col min="2" max="6" width="12.6328125" customWidth="1"/>
    <col min="7" max="7" width="15.36328125" bestFit="1" customWidth="1"/>
    <col min="8" max="8" width="17.54296875" bestFit="1" customWidth="1"/>
    <col min="9" max="14" width="12.6328125" customWidth="1"/>
  </cols>
  <sheetData>
    <row r="1" spans="1:14" x14ac:dyDescent="0.35">
      <c r="A1" s="31" t="s">
        <v>78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spans="1:14" x14ac:dyDescent="0.35">
      <c r="A4" s="19" t="s">
        <v>60</v>
      </c>
      <c r="E4" s="19" t="s">
        <v>64</v>
      </c>
      <c r="I4" s="23" t="s">
        <v>59</v>
      </c>
    </row>
    <row r="5" spans="1:14" ht="23.5" x14ac:dyDescent="0.55000000000000004">
      <c r="A5" s="20">
        <v>2011000</v>
      </c>
      <c r="E5" s="22">
        <v>783000</v>
      </c>
      <c r="I5" s="24">
        <v>1</v>
      </c>
    </row>
    <row r="8" spans="1:14" x14ac:dyDescent="0.35">
      <c r="A8" t="s">
        <v>79</v>
      </c>
      <c r="G8" t="s">
        <v>86</v>
      </c>
    </row>
    <row r="22" spans="1:7" x14ac:dyDescent="0.35">
      <c r="A22" t="s">
        <v>80</v>
      </c>
    </row>
    <row r="23" spans="1:7" ht="21" x14ac:dyDescent="0.5">
      <c r="G23" s="30" t="s">
        <v>98</v>
      </c>
    </row>
    <row r="24" spans="1:7" x14ac:dyDescent="0.35">
      <c r="G24" s="29">
        <v>0.38935852809547489</v>
      </c>
    </row>
    <row r="33" spans="1:1" ht="18.5" x14ac:dyDescent="0.45">
      <c r="A33" s="27" t="s">
        <v>81</v>
      </c>
    </row>
    <row r="50" spans="1:1" x14ac:dyDescent="0.35">
      <c r="A50" s="21" t="s">
        <v>90</v>
      </c>
    </row>
    <row r="51" spans="1:1" ht="145" x14ac:dyDescent="0.35">
      <c r="A51" s="28" t="s">
        <v>87</v>
      </c>
    </row>
    <row r="53" spans="1:1" x14ac:dyDescent="0.35">
      <c r="A53" s="21" t="s">
        <v>91</v>
      </c>
    </row>
    <row r="54" spans="1:1" ht="159.5" x14ac:dyDescent="0.35">
      <c r="A54" s="28" t="s">
        <v>88</v>
      </c>
    </row>
    <row r="56" spans="1:1" x14ac:dyDescent="0.35">
      <c r="A56" s="21" t="s">
        <v>92</v>
      </c>
    </row>
    <row r="57" spans="1:1" ht="145" x14ac:dyDescent="0.35">
      <c r="A57" s="28" t="s">
        <v>89</v>
      </c>
    </row>
    <row r="59" spans="1:1" x14ac:dyDescent="0.35">
      <c r="A59" s="21" t="s">
        <v>93</v>
      </c>
    </row>
  </sheetData>
  <mergeCells count="1">
    <mergeCell ref="A1:N2"/>
  </mergeCells>
  <conditionalFormatting sqref="A5">
    <cfRule type="cellIs" dxfId="5" priority="7" operator="lessThan">
      <formula>2000000</formula>
    </cfRule>
    <cfRule type="cellIs" dxfId="4" priority="8" operator="greaterThan">
      <formula>2000000</formula>
    </cfRule>
  </conditionalFormatting>
  <conditionalFormatting sqref="E5">
    <cfRule type="cellIs" dxfId="3" priority="3" operator="lessThan">
      <formula>750000</formula>
    </cfRule>
    <cfRule type="cellIs" dxfId="2" priority="4" operator="lessThan">
      <formula>750000</formula>
    </cfRule>
    <cfRule type="cellIs" dxfId="1" priority="6" operator="greaterThan">
      <formula>750000</formula>
    </cfRule>
  </conditionalFormatting>
  <conditionalFormatting sqref="I5">
    <cfRule type="cellIs" dxfId="0" priority="1" operator="greaterThan">
      <formula>1</formula>
    </cfRule>
    <cfRule type="cellIs" priority="2" operator="lessThanOrEqual">
      <formula>1</formula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3DE9-6B67-456B-8851-23F75021BAAB}">
  <sheetPr>
    <outlinePr summaryBelow="0"/>
  </sheetPr>
  <dimension ref="B1:G11"/>
  <sheetViews>
    <sheetView showGridLines="0" workbookViewId="0">
      <selection activeCell="G14" sqref="G14"/>
    </sheetView>
  </sheetViews>
  <sheetFormatPr baseColWidth="10" defaultRowHeight="14.5" outlineLevelRow="1" outlineLevelCol="1" x14ac:dyDescent="0.35"/>
  <cols>
    <col min="3" max="3" width="4.90625" bestFit="1" customWidth="1"/>
    <col min="4" max="7" width="13.54296875" bestFit="1" customWidth="1" outlineLevel="1"/>
  </cols>
  <sheetData>
    <row r="1" spans="2:7" ht="15" thickBot="1" x14ac:dyDescent="0.4"/>
    <row r="2" spans="2:7" ht="16" x14ac:dyDescent="0.4">
      <c r="B2" s="11" t="s">
        <v>71</v>
      </c>
      <c r="C2" s="11"/>
      <c r="D2" s="15"/>
      <c r="E2" s="15"/>
      <c r="F2" s="15"/>
      <c r="G2" s="15"/>
    </row>
    <row r="3" spans="2:7" ht="16" collapsed="1" x14ac:dyDescent="0.4">
      <c r="B3" s="10"/>
      <c r="C3" s="10"/>
      <c r="D3" s="16" t="s">
        <v>73</v>
      </c>
      <c r="E3" s="16" t="s">
        <v>65</v>
      </c>
      <c r="F3" s="16" t="s">
        <v>66</v>
      </c>
      <c r="G3" s="16" t="s">
        <v>67</v>
      </c>
    </row>
    <row r="4" spans="2:7" ht="21" hidden="1" outlineLevel="1" x14ac:dyDescent="0.35">
      <c r="B4" s="12"/>
      <c r="C4" s="12"/>
      <c r="E4" s="18" t="s">
        <v>70</v>
      </c>
      <c r="F4" s="18" t="s">
        <v>70</v>
      </c>
      <c r="G4" s="18" t="s">
        <v>70</v>
      </c>
    </row>
    <row r="5" spans="2:7" x14ac:dyDescent="0.35">
      <c r="B5" s="13" t="s">
        <v>72</v>
      </c>
      <c r="C5" s="13"/>
      <c r="D5" s="7"/>
      <c r="E5" s="7"/>
      <c r="F5" s="7"/>
      <c r="G5" s="7"/>
    </row>
    <row r="6" spans="2:7" outlineLevel="1" x14ac:dyDescent="0.35">
      <c r="B6" s="12"/>
      <c r="C6" s="12" t="s">
        <v>68</v>
      </c>
      <c r="D6" s="9">
        <v>0.9</v>
      </c>
      <c r="E6" s="17">
        <v>1.1000000000000001</v>
      </c>
      <c r="F6" s="17">
        <v>1</v>
      </c>
      <c r="G6" s="17">
        <v>0.9</v>
      </c>
    </row>
    <row r="7" spans="2:7" x14ac:dyDescent="0.35">
      <c r="B7" s="13" t="s">
        <v>74</v>
      </c>
      <c r="C7" s="13"/>
      <c r="D7" s="7"/>
      <c r="E7" s="7"/>
      <c r="F7" s="7"/>
      <c r="G7" s="7"/>
    </row>
    <row r="8" spans="2:7" ht="15" outlineLevel="1" thickBot="1" x14ac:dyDescent="0.4">
      <c r="B8" s="14"/>
      <c r="C8" s="14" t="s">
        <v>69</v>
      </c>
      <c r="D8" s="4">
        <v>905800</v>
      </c>
      <c r="E8" s="4">
        <v>660200</v>
      </c>
      <c r="F8" s="4">
        <v>783000</v>
      </c>
      <c r="G8" s="4">
        <v>905800</v>
      </c>
    </row>
    <row r="9" spans="2:7" x14ac:dyDescent="0.35">
      <c r="B9" t="s">
        <v>75</v>
      </c>
    </row>
    <row r="10" spans="2:7" x14ac:dyDescent="0.35">
      <c r="B10" t="s">
        <v>76</v>
      </c>
    </row>
    <row r="11" spans="2:7" x14ac:dyDescent="0.35">
      <c r="B11" t="s">
        <v>77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45A2-A848-4811-BCB9-C905328F741B}">
  <dimension ref="A1:F6"/>
  <sheetViews>
    <sheetView workbookViewId="0">
      <selection activeCell="B2" sqref="B2"/>
    </sheetView>
  </sheetViews>
  <sheetFormatPr baseColWidth="10" defaultRowHeight="14.5" x14ac:dyDescent="0.35"/>
  <cols>
    <col min="1" max="1" width="20.1796875" bestFit="1" customWidth="1"/>
    <col min="5" max="5" width="11.90625" bestFit="1" customWidth="1"/>
  </cols>
  <sheetData>
    <row r="1" spans="1:6" x14ac:dyDescent="0.35">
      <c r="A1" t="s">
        <v>58</v>
      </c>
      <c r="B1" t="s">
        <v>56</v>
      </c>
      <c r="D1" t="s">
        <v>63</v>
      </c>
      <c r="E1" t="s">
        <v>59</v>
      </c>
      <c r="F1" t="s">
        <v>64</v>
      </c>
    </row>
    <row r="2" spans="1:6" x14ac:dyDescent="0.35">
      <c r="A2" t="s">
        <v>59</v>
      </c>
      <c r="B2" s="9">
        <v>1</v>
      </c>
      <c r="D2" t="s">
        <v>65</v>
      </c>
      <c r="E2" s="9">
        <v>1.1000000000000001</v>
      </c>
      <c r="F2">
        <v>660200</v>
      </c>
    </row>
    <row r="3" spans="1:6" x14ac:dyDescent="0.35">
      <c r="D3" t="s">
        <v>66</v>
      </c>
      <c r="E3" s="9">
        <v>1</v>
      </c>
      <c r="F3">
        <v>783000</v>
      </c>
    </row>
    <row r="4" spans="1:6" x14ac:dyDescent="0.35">
      <c r="A4" t="s">
        <v>60</v>
      </c>
      <c r="B4">
        <v>2011000</v>
      </c>
      <c r="D4" t="s">
        <v>67</v>
      </c>
      <c r="E4" s="9">
        <v>0.9</v>
      </c>
      <c r="F4">
        <v>906200</v>
      </c>
    </row>
    <row r="5" spans="1:6" x14ac:dyDescent="0.35">
      <c r="A5" t="s">
        <v>61</v>
      </c>
      <c r="B5">
        <v>1228000</v>
      </c>
    </row>
    <row r="6" spans="1:6" x14ac:dyDescent="0.35">
      <c r="A6" t="s">
        <v>62</v>
      </c>
      <c r="B6">
        <f>B4-(B5*$B$2)</f>
        <v>783000</v>
      </c>
    </row>
  </sheetData>
  <scenarios current="2" show="2" sqref="B6">
    <scenario name="Pesimista" locked="1" count="1" user="Juliana Escobar" comment="Creado por Juliana Escobar el 16/9/2026">
      <inputCells r="B2" val="1,1" numFmtId="9"/>
    </scenario>
    <scenario name="Base" locked="1" count="1" user="Juliana Escobar" comment="Creado por Juliana Escobar el 16/9/2026">
      <inputCells r="B2" val="1" numFmtId="9"/>
    </scenario>
    <scenario name="Optimista" locked="1" count="1" user="Juliana Escobar" comment="Creado por Juliana Escobar el 16/9/2026">
      <inputCells r="B2" val="0,9" numFmtId="9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BB0D-FC5A-414E-AE4E-76240A5A589B}">
  <dimension ref="A3:B4"/>
  <sheetViews>
    <sheetView workbookViewId="0">
      <selection activeCell="A3" sqref="A3"/>
    </sheetView>
  </sheetViews>
  <sheetFormatPr baseColWidth="10" defaultRowHeight="14.5" x14ac:dyDescent="0.35"/>
  <cols>
    <col min="1" max="1" width="12.90625" bestFit="1" customWidth="1"/>
    <col min="2" max="2" width="11.1796875" bestFit="1" customWidth="1"/>
    <col min="4" max="4" width="15.90625" bestFit="1" customWidth="1"/>
  </cols>
  <sheetData>
    <row r="3" spans="1:2" x14ac:dyDescent="0.35">
      <c r="A3" t="s">
        <v>57</v>
      </c>
      <c r="B3" t="s">
        <v>42</v>
      </c>
    </row>
    <row r="4" spans="1:2" x14ac:dyDescent="0.35">
      <c r="A4">
        <v>2011000</v>
      </c>
      <c r="B4">
        <v>783000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14D-22B7-40A7-9568-D251CBD47E8D}">
  <dimension ref="A4:C9"/>
  <sheetViews>
    <sheetView topLeftCell="A3" workbookViewId="0">
      <selection activeCell="B6" sqref="B6"/>
    </sheetView>
  </sheetViews>
  <sheetFormatPr baseColWidth="10" defaultRowHeight="14.5" x14ac:dyDescent="0.35"/>
  <cols>
    <col min="1" max="1" width="11.54296875" customWidth="1"/>
  </cols>
  <sheetData>
    <row r="4" spans="1:3" x14ac:dyDescent="0.35">
      <c r="A4" s="2" t="s">
        <v>2</v>
      </c>
      <c r="B4" s="2" t="s">
        <v>20</v>
      </c>
      <c r="C4" s="2" t="s">
        <v>21</v>
      </c>
    </row>
    <row r="5" spans="1:3" x14ac:dyDescent="0.35">
      <c r="A5" s="3" t="s">
        <v>7</v>
      </c>
      <c r="B5" s="3" t="s">
        <v>22</v>
      </c>
      <c r="C5" s="3" t="s">
        <v>23</v>
      </c>
    </row>
    <row r="6" spans="1:3" x14ac:dyDescent="0.35">
      <c r="A6" s="3" t="s">
        <v>9</v>
      </c>
      <c r="B6" s="3" t="s">
        <v>24</v>
      </c>
      <c r="C6" s="3" t="s">
        <v>25</v>
      </c>
    </row>
    <row r="7" spans="1:3" x14ac:dyDescent="0.35">
      <c r="A7" s="3" t="s">
        <v>11</v>
      </c>
      <c r="B7" s="3" t="s">
        <v>26</v>
      </c>
      <c r="C7" s="3" t="s">
        <v>27</v>
      </c>
    </row>
    <row r="8" spans="1:3" x14ac:dyDescent="0.35">
      <c r="A8" s="3" t="s">
        <v>14</v>
      </c>
      <c r="B8" s="3" t="s">
        <v>28</v>
      </c>
      <c r="C8" s="3" t="s">
        <v>29</v>
      </c>
    </row>
    <row r="9" spans="1:3" x14ac:dyDescent="0.35">
      <c r="A9" s="3" t="s">
        <v>15</v>
      </c>
      <c r="B9" s="3" t="s">
        <v>30</v>
      </c>
      <c r="C9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7F33-405D-4C50-9963-06CDB9383E32}">
  <dimension ref="A1:E6"/>
  <sheetViews>
    <sheetView workbookViewId="0">
      <selection activeCell="F4" sqref="F4"/>
    </sheetView>
  </sheetViews>
  <sheetFormatPr baseColWidth="10" defaultRowHeight="14.5" x14ac:dyDescent="0.35"/>
  <cols>
    <col min="1" max="1" width="13" customWidth="1"/>
    <col min="5" max="5" width="13.1796875" bestFit="1" customWidth="1"/>
  </cols>
  <sheetData>
    <row r="1" spans="1:5" x14ac:dyDescent="0.35">
      <c r="A1" s="2" t="s">
        <v>3</v>
      </c>
      <c r="B1" s="2" t="s">
        <v>32</v>
      </c>
      <c r="C1" s="2" t="s">
        <v>33</v>
      </c>
      <c r="E1" t="s">
        <v>96</v>
      </c>
    </row>
    <row r="2" spans="1:5" x14ac:dyDescent="0.35">
      <c r="A2" s="3" t="s">
        <v>8</v>
      </c>
      <c r="B2" s="3" t="s">
        <v>34</v>
      </c>
      <c r="C2" s="3" t="s">
        <v>35</v>
      </c>
      <c r="E2" t="s">
        <v>94</v>
      </c>
    </row>
    <row r="3" spans="1:5" x14ac:dyDescent="0.35">
      <c r="A3" s="3" t="s">
        <v>12</v>
      </c>
      <c r="B3" s="3" t="s">
        <v>36</v>
      </c>
      <c r="C3" s="3" t="s">
        <v>35</v>
      </c>
      <c r="E3" t="s">
        <v>95</v>
      </c>
    </row>
    <row r="4" spans="1:5" x14ac:dyDescent="0.35">
      <c r="A4" s="3" t="s">
        <v>10</v>
      </c>
      <c r="B4" s="3" t="s">
        <v>37</v>
      </c>
      <c r="C4" s="3" t="s">
        <v>38</v>
      </c>
      <c r="E4" t="s">
        <v>41</v>
      </c>
    </row>
    <row r="5" spans="1:5" x14ac:dyDescent="0.35">
      <c r="A5" s="3" t="s">
        <v>13</v>
      </c>
      <c r="B5" s="3" t="s">
        <v>39</v>
      </c>
      <c r="C5" s="3" t="s">
        <v>35</v>
      </c>
    </row>
    <row r="6" spans="1:5" x14ac:dyDescent="0.35">
      <c r="A6" s="3" t="s">
        <v>16</v>
      </c>
      <c r="B6" s="3" t="s">
        <v>40</v>
      </c>
      <c r="C6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2BC4-EAF5-4B93-89F1-04C12C342841}">
  <dimension ref="A1:A101"/>
  <sheetViews>
    <sheetView workbookViewId="0">
      <selection activeCell="A11" sqref="A11"/>
    </sheetView>
  </sheetViews>
  <sheetFormatPr baseColWidth="10" defaultRowHeight="14.5" x14ac:dyDescent="0.35"/>
  <sheetData>
    <row r="1" spans="1:1" x14ac:dyDescent="0.35">
      <c r="A1" t="s">
        <v>1</v>
      </c>
    </row>
    <row r="2" spans="1:1" x14ac:dyDescent="0.35">
      <c r="A2" s="1">
        <v>46023</v>
      </c>
    </row>
    <row r="3" spans="1:1" x14ac:dyDescent="0.35">
      <c r="A3" s="1">
        <f>A2+1</f>
        <v>46024</v>
      </c>
    </row>
    <row r="4" spans="1:1" x14ac:dyDescent="0.35">
      <c r="A4" s="1">
        <f t="shared" ref="A4:A67" si="0">A3+1</f>
        <v>46025</v>
      </c>
    </row>
    <row r="5" spans="1:1" x14ac:dyDescent="0.35">
      <c r="A5" s="1">
        <f t="shared" si="0"/>
        <v>46026</v>
      </c>
    </row>
    <row r="6" spans="1:1" x14ac:dyDescent="0.35">
      <c r="A6" s="1">
        <f t="shared" si="0"/>
        <v>46027</v>
      </c>
    </row>
    <row r="7" spans="1:1" x14ac:dyDescent="0.35">
      <c r="A7" s="1">
        <f t="shared" si="0"/>
        <v>46028</v>
      </c>
    </row>
    <row r="8" spans="1:1" x14ac:dyDescent="0.35">
      <c r="A8" s="1">
        <f t="shared" si="0"/>
        <v>46029</v>
      </c>
    </row>
    <row r="9" spans="1:1" x14ac:dyDescent="0.35">
      <c r="A9" s="1">
        <f t="shared" si="0"/>
        <v>46030</v>
      </c>
    </row>
    <row r="10" spans="1:1" x14ac:dyDescent="0.35">
      <c r="A10" s="1">
        <f t="shared" si="0"/>
        <v>46031</v>
      </c>
    </row>
    <row r="11" spans="1:1" x14ac:dyDescent="0.35">
      <c r="A11" s="1">
        <f t="shared" si="0"/>
        <v>46032</v>
      </c>
    </row>
    <row r="12" spans="1:1" x14ac:dyDescent="0.35">
      <c r="A12" s="1">
        <f t="shared" si="0"/>
        <v>46033</v>
      </c>
    </row>
    <row r="13" spans="1:1" x14ac:dyDescent="0.35">
      <c r="A13" s="1">
        <f t="shared" si="0"/>
        <v>46034</v>
      </c>
    </row>
    <row r="14" spans="1:1" x14ac:dyDescent="0.35">
      <c r="A14" s="1">
        <f t="shared" si="0"/>
        <v>46035</v>
      </c>
    </row>
    <row r="15" spans="1:1" x14ac:dyDescent="0.35">
      <c r="A15" s="1">
        <f t="shared" si="0"/>
        <v>46036</v>
      </c>
    </row>
    <row r="16" spans="1:1" x14ac:dyDescent="0.35">
      <c r="A16" s="1">
        <f t="shared" si="0"/>
        <v>46037</v>
      </c>
    </row>
    <row r="17" spans="1:1" x14ac:dyDescent="0.35">
      <c r="A17" s="1">
        <f t="shared" si="0"/>
        <v>46038</v>
      </c>
    </row>
    <row r="18" spans="1:1" x14ac:dyDescent="0.35">
      <c r="A18" s="1">
        <f t="shared" si="0"/>
        <v>46039</v>
      </c>
    </row>
    <row r="19" spans="1:1" x14ac:dyDescent="0.35">
      <c r="A19" s="1">
        <f t="shared" si="0"/>
        <v>46040</v>
      </c>
    </row>
    <row r="20" spans="1:1" x14ac:dyDescent="0.35">
      <c r="A20" s="1">
        <f t="shared" si="0"/>
        <v>46041</v>
      </c>
    </row>
    <row r="21" spans="1:1" x14ac:dyDescent="0.35">
      <c r="A21" s="1">
        <f>A20+1</f>
        <v>46042</v>
      </c>
    </row>
    <row r="22" spans="1:1" x14ac:dyDescent="0.35">
      <c r="A22" s="1">
        <f t="shared" si="0"/>
        <v>46043</v>
      </c>
    </row>
    <row r="23" spans="1:1" x14ac:dyDescent="0.35">
      <c r="A23" s="1">
        <f t="shared" si="0"/>
        <v>46044</v>
      </c>
    </row>
    <row r="24" spans="1:1" x14ac:dyDescent="0.35">
      <c r="A24" s="1">
        <f t="shared" si="0"/>
        <v>46045</v>
      </c>
    </row>
    <row r="25" spans="1:1" x14ac:dyDescent="0.35">
      <c r="A25" s="1">
        <f t="shared" si="0"/>
        <v>46046</v>
      </c>
    </row>
    <row r="26" spans="1:1" x14ac:dyDescent="0.35">
      <c r="A26" s="1">
        <f t="shared" si="0"/>
        <v>46047</v>
      </c>
    </row>
    <row r="27" spans="1:1" x14ac:dyDescent="0.35">
      <c r="A27" s="1">
        <f t="shared" si="0"/>
        <v>46048</v>
      </c>
    </row>
    <row r="28" spans="1:1" x14ac:dyDescent="0.35">
      <c r="A28" s="1">
        <f t="shared" si="0"/>
        <v>46049</v>
      </c>
    </row>
    <row r="29" spans="1:1" x14ac:dyDescent="0.35">
      <c r="A29" s="1">
        <f t="shared" si="0"/>
        <v>46050</v>
      </c>
    </row>
    <row r="30" spans="1:1" x14ac:dyDescent="0.35">
      <c r="A30" s="1">
        <f t="shared" si="0"/>
        <v>46051</v>
      </c>
    </row>
    <row r="31" spans="1:1" x14ac:dyDescent="0.35">
      <c r="A31" s="1">
        <f t="shared" si="0"/>
        <v>46052</v>
      </c>
    </row>
    <row r="32" spans="1:1" x14ac:dyDescent="0.35">
      <c r="A32" s="1">
        <f t="shared" si="0"/>
        <v>46053</v>
      </c>
    </row>
    <row r="33" spans="1:1" x14ac:dyDescent="0.35">
      <c r="A33" s="1">
        <f t="shared" si="0"/>
        <v>46054</v>
      </c>
    </row>
    <row r="34" spans="1:1" x14ac:dyDescent="0.35">
      <c r="A34" s="1">
        <f t="shared" si="0"/>
        <v>46055</v>
      </c>
    </row>
    <row r="35" spans="1:1" x14ac:dyDescent="0.35">
      <c r="A35" s="1">
        <f t="shared" si="0"/>
        <v>46056</v>
      </c>
    </row>
    <row r="36" spans="1:1" x14ac:dyDescent="0.35">
      <c r="A36" s="1">
        <f t="shared" si="0"/>
        <v>46057</v>
      </c>
    </row>
    <row r="37" spans="1:1" x14ac:dyDescent="0.35">
      <c r="A37" s="1">
        <f t="shared" si="0"/>
        <v>46058</v>
      </c>
    </row>
    <row r="38" spans="1:1" x14ac:dyDescent="0.35">
      <c r="A38" s="1">
        <f>A37+1</f>
        <v>46059</v>
      </c>
    </row>
    <row r="39" spans="1:1" x14ac:dyDescent="0.35">
      <c r="A39" s="1">
        <f t="shared" si="0"/>
        <v>46060</v>
      </c>
    </row>
    <row r="40" spans="1:1" x14ac:dyDescent="0.35">
      <c r="A40" s="1">
        <f t="shared" si="0"/>
        <v>46061</v>
      </c>
    </row>
    <row r="41" spans="1:1" x14ac:dyDescent="0.35">
      <c r="A41" s="1">
        <f t="shared" si="0"/>
        <v>46062</v>
      </c>
    </row>
    <row r="42" spans="1:1" x14ac:dyDescent="0.35">
      <c r="A42" s="1">
        <f t="shared" si="0"/>
        <v>46063</v>
      </c>
    </row>
    <row r="43" spans="1:1" x14ac:dyDescent="0.35">
      <c r="A43" s="1">
        <f t="shared" si="0"/>
        <v>46064</v>
      </c>
    </row>
    <row r="44" spans="1:1" x14ac:dyDescent="0.35">
      <c r="A44" s="1">
        <f t="shared" si="0"/>
        <v>46065</v>
      </c>
    </row>
    <row r="45" spans="1:1" x14ac:dyDescent="0.35">
      <c r="A45" s="1">
        <f t="shared" si="0"/>
        <v>46066</v>
      </c>
    </row>
    <row r="46" spans="1:1" x14ac:dyDescent="0.35">
      <c r="A46" s="1">
        <f t="shared" si="0"/>
        <v>46067</v>
      </c>
    </row>
    <row r="47" spans="1:1" x14ac:dyDescent="0.35">
      <c r="A47" s="1">
        <f t="shared" si="0"/>
        <v>46068</v>
      </c>
    </row>
    <row r="48" spans="1:1" x14ac:dyDescent="0.35">
      <c r="A48" s="1">
        <f t="shared" si="0"/>
        <v>46069</v>
      </c>
    </row>
    <row r="49" spans="1:1" x14ac:dyDescent="0.35">
      <c r="A49" s="1">
        <f t="shared" si="0"/>
        <v>46070</v>
      </c>
    </row>
    <row r="50" spans="1:1" x14ac:dyDescent="0.35">
      <c r="A50" s="1">
        <f t="shared" si="0"/>
        <v>46071</v>
      </c>
    </row>
    <row r="51" spans="1:1" x14ac:dyDescent="0.35">
      <c r="A51" s="1">
        <f t="shared" si="0"/>
        <v>46072</v>
      </c>
    </row>
    <row r="52" spans="1:1" x14ac:dyDescent="0.35">
      <c r="A52" s="1">
        <f>A51+1</f>
        <v>46073</v>
      </c>
    </row>
    <row r="53" spans="1:1" x14ac:dyDescent="0.35">
      <c r="A53" s="1">
        <f t="shared" si="0"/>
        <v>46074</v>
      </c>
    </row>
    <row r="54" spans="1:1" x14ac:dyDescent="0.35">
      <c r="A54" s="1">
        <f t="shared" si="0"/>
        <v>46075</v>
      </c>
    </row>
    <row r="55" spans="1:1" x14ac:dyDescent="0.35">
      <c r="A55" s="1">
        <f>A54+1</f>
        <v>46076</v>
      </c>
    </row>
    <row r="56" spans="1:1" x14ac:dyDescent="0.35">
      <c r="A56" s="1">
        <f t="shared" si="0"/>
        <v>46077</v>
      </c>
    </row>
    <row r="57" spans="1:1" x14ac:dyDescent="0.35">
      <c r="A57" s="1">
        <f t="shared" si="0"/>
        <v>46078</v>
      </c>
    </row>
    <row r="58" spans="1:1" x14ac:dyDescent="0.35">
      <c r="A58" s="1">
        <f t="shared" si="0"/>
        <v>46079</v>
      </c>
    </row>
    <row r="59" spans="1:1" x14ac:dyDescent="0.35">
      <c r="A59" s="1">
        <f>A58+1</f>
        <v>46080</v>
      </c>
    </row>
    <row r="60" spans="1:1" x14ac:dyDescent="0.35">
      <c r="A60" s="1">
        <f t="shared" si="0"/>
        <v>46081</v>
      </c>
    </row>
    <row r="61" spans="1:1" x14ac:dyDescent="0.35">
      <c r="A61" s="1">
        <f t="shared" si="0"/>
        <v>46082</v>
      </c>
    </row>
    <row r="62" spans="1:1" x14ac:dyDescent="0.35">
      <c r="A62" s="1">
        <f t="shared" si="0"/>
        <v>46083</v>
      </c>
    </row>
    <row r="63" spans="1:1" x14ac:dyDescent="0.35">
      <c r="A63" s="1">
        <f t="shared" si="0"/>
        <v>46084</v>
      </c>
    </row>
    <row r="64" spans="1:1" x14ac:dyDescent="0.35">
      <c r="A64" s="1">
        <f t="shared" si="0"/>
        <v>46085</v>
      </c>
    </row>
    <row r="65" spans="1:1" x14ac:dyDescent="0.35">
      <c r="A65" s="1">
        <f t="shared" si="0"/>
        <v>46086</v>
      </c>
    </row>
    <row r="66" spans="1:1" x14ac:dyDescent="0.35">
      <c r="A66" s="1">
        <f t="shared" si="0"/>
        <v>46087</v>
      </c>
    </row>
    <row r="67" spans="1:1" x14ac:dyDescent="0.35">
      <c r="A67" s="1">
        <f t="shared" si="0"/>
        <v>46088</v>
      </c>
    </row>
    <row r="68" spans="1:1" x14ac:dyDescent="0.35">
      <c r="A68" s="1">
        <f t="shared" ref="A68" si="1">A67+1</f>
        <v>46089</v>
      </c>
    </row>
    <row r="69" spans="1:1" x14ac:dyDescent="0.35">
      <c r="A69" s="1">
        <f>A68+1</f>
        <v>46090</v>
      </c>
    </row>
    <row r="70" spans="1:1" x14ac:dyDescent="0.35">
      <c r="A70" s="1">
        <f t="shared" ref="A70:A91" si="2">A69+1</f>
        <v>46091</v>
      </c>
    </row>
    <row r="71" spans="1:1" x14ac:dyDescent="0.35">
      <c r="A71" s="1">
        <f t="shared" si="2"/>
        <v>46092</v>
      </c>
    </row>
    <row r="72" spans="1:1" x14ac:dyDescent="0.35">
      <c r="A72" s="1">
        <f t="shared" si="2"/>
        <v>46093</v>
      </c>
    </row>
    <row r="73" spans="1:1" x14ac:dyDescent="0.35">
      <c r="A73" s="1">
        <f t="shared" si="2"/>
        <v>46094</v>
      </c>
    </row>
    <row r="74" spans="1:1" x14ac:dyDescent="0.35">
      <c r="A74" s="1">
        <f t="shared" si="2"/>
        <v>46095</v>
      </c>
    </row>
    <row r="75" spans="1:1" x14ac:dyDescent="0.35">
      <c r="A75" s="1">
        <f t="shared" si="2"/>
        <v>46096</v>
      </c>
    </row>
    <row r="76" spans="1:1" x14ac:dyDescent="0.35">
      <c r="A76" s="1">
        <f t="shared" si="2"/>
        <v>46097</v>
      </c>
    </row>
    <row r="77" spans="1:1" x14ac:dyDescent="0.35">
      <c r="A77" s="1">
        <f t="shared" si="2"/>
        <v>46098</v>
      </c>
    </row>
    <row r="78" spans="1:1" x14ac:dyDescent="0.35">
      <c r="A78" s="1">
        <f t="shared" si="2"/>
        <v>46099</v>
      </c>
    </row>
    <row r="79" spans="1:1" x14ac:dyDescent="0.35">
      <c r="A79" s="1">
        <f t="shared" si="2"/>
        <v>46100</v>
      </c>
    </row>
    <row r="80" spans="1:1" x14ac:dyDescent="0.35">
      <c r="A80" s="1">
        <f t="shared" si="2"/>
        <v>46101</v>
      </c>
    </row>
    <row r="81" spans="1:1" x14ac:dyDescent="0.35">
      <c r="A81" s="1">
        <f t="shared" si="2"/>
        <v>46102</v>
      </c>
    </row>
    <row r="82" spans="1:1" x14ac:dyDescent="0.35">
      <c r="A82" s="1">
        <f t="shared" si="2"/>
        <v>46103</v>
      </c>
    </row>
    <row r="83" spans="1:1" x14ac:dyDescent="0.35">
      <c r="A83" s="1">
        <f t="shared" si="2"/>
        <v>46104</v>
      </c>
    </row>
    <row r="84" spans="1:1" x14ac:dyDescent="0.35">
      <c r="A84" s="1">
        <f t="shared" si="2"/>
        <v>46105</v>
      </c>
    </row>
    <row r="85" spans="1:1" x14ac:dyDescent="0.35">
      <c r="A85" s="1">
        <f t="shared" si="2"/>
        <v>46106</v>
      </c>
    </row>
    <row r="86" spans="1:1" x14ac:dyDescent="0.35">
      <c r="A86" s="1">
        <f t="shared" si="2"/>
        <v>46107</v>
      </c>
    </row>
    <row r="87" spans="1:1" x14ac:dyDescent="0.35">
      <c r="A87" s="1">
        <f t="shared" si="2"/>
        <v>46108</v>
      </c>
    </row>
    <row r="88" spans="1:1" x14ac:dyDescent="0.35">
      <c r="A88" s="1">
        <f t="shared" si="2"/>
        <v>46109</v>
      </c>
    </row>
    <row r="89" spans="1:1" x14ac:dyDescent="0.35">
      <c r="A89" s="1">
        <f t="shared" si="2"/>
        <v>46110</v>
      </c>
    </row>
    <row r="90" spans="1:1" x14ac:dyDescent="0.35">
      <c r="A90" s="1">
        <f t="shared" si="2"/>
        <v>46111</v>
      </c>
    </row>
    <row r="91" spans="1:1" x14ac:dyDescent="0.35">
      <c r="A91" s="1">
        <f t="shared" si="2"/>
        <v>46112</v>
      </c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99B07CB-83FB-4836-B4FF-412854D8955F}">
  <ds:schemaRefs/>
</ds:datastoreItem>
</file>

<file path=customXml/itemProps2.xml><?xml version="1.0" encoding="utf-8"?>
<ds:datastoreItem xmlns:ds="http://schemas.openxmlformats.org/officeDocument/2006/customXml" ds:itemID="{F82BCAEF-400C-44F9-8BC1-E5BABDEB9457}">
  <ds:schemaRefs/>
</ds:datastoreItem>
</file>

<file path=customXml/itemProps3.xml><?xml version="1.0" encoding="utf-8"?>
<ds:datastoreItem xmlns:ds="http://schemas.openxmlformats.org/officeDocument/2006/customXml" ds:itemID="{BD460288-906D-4218-AC98-E62888CDB5C3}">
  <ds:schemaRefs/>
</ds:datastoreItem>
</file>

<file path=customXml/itemProps4.xml><?xml version="1.0" encoding="utf-8"?>
<ds:datastoreItem xmlns:ds="http://schemas.openxmlformats.org/officeDocument/2006/customXml" ds:itemID="{77551B63-1E87-48B5-827A-3D0657D70458}">
  <ds:schemaRefs/>
</ds:datastoreItem>
</file>

<file path=customXml/itemProps5.xml><?xml version="1.0" encoding="utf-8"?>
<ds:datastoreItem xmlns:ds="http://schemas.openxmlformats.org/officeDocument/2006/customXml" ds:itemID="{4283C852-AA03-4AD0-A95A-BFF0341590EF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5C386961-44E2-4EDB-A754-82A99201F2AD}">
  <ds:schemaRefs/>
</ds:datastoreItem>
</file>

<file path=customXml/itemProps7.xml><?xml version="1.0" encoding="utf-8"?>
<ds:datastoreItem xmlns:ds="http://schemas.openxmlformats.org/officeDocument/2006/customXml" ds:itemID="{545AD5D0-3973-418A-BC23-866473EDE851}">
  <ds:schemaRefs/>
</ds:datastoreItem>
</file>

<file path=customXml/itemProps8.xml><?xml version="1.0" encoding="utf-8"?>
<ds:datastoreItem xmlns:ds="http://schemas.openxmlformats.org/officeDocument/2006/customXml" ds:itemID="{00FD0BA3-D649-4F24-97F6-07483AB5688A}">
  <ds:schemaRefs/>
</ds:datastoreItem>
</file>

<file path=customXml/itemProps9.xml><?xml version="1.0" encoding="utf-8"?>
<ds:datastoreItem xmlns:ds="http://schemas.openxmlformats.org/officeDocument/2006/customXml" ds:itemID="{38F6EDBD-03ED-4D1E-8067-27A7DBC96B96}">
  <ds:schemaRefs/>
</ds:datastoreItem>
</file>

<file path=customXml/itemProps10.xml><?xml version="1.0" encoding="utf-8"?>
<ds:datastoreItem xmlns:ds="http://schemas.openxmlformats.org/officeDocument/2006/customXml" ds:itemID="{E621E048-992E-4B81-864F-99C9D56F5B79}">
  <ds:schemaRefs/>
</ds:datastoreItem>
</file>

<file path=customXml/itemProps11.xml><?xml version="1.0" encoding="utf-8"?>
<ds:datastoreItem xmlns:ds="http://schemas.openxmlformats.org/officeDocument/2006/customXml" ds:itemID="{44032D5B-4174-485F-B11F-05833B80965B}">
  <ds:schemaRefs/>
</ds:datastoreItem>
</file>

<file path=customXml/itemProps12.xml><?xml version="1.0" encoding="utf-8"?>
<ds:datastoreItem xmlns:ds="http://schemas.openxmlformats.org/officeDocument/2006/customXml" ds:itemID="{768C522A-4DAA-464C-B2A4-608A93BDCF5E}">
  <ds:schemaRefs/>
</ds:datastoreItem>
</file>

<file path=customXml/itemProps13.xml><?xml version="1.0" encoding="utf-8"?>
<ds:datastoreItem xmlns:ds="http://schemas.openxmlformats.org/officeDocument/2006/customXml" ds:itemID="{F3FF2C22-FDDB-420A-86B7-E6173736D5B1}">
  <ds:schemaRefs/>
</ds:datastoreItem>
</file>

<file path=customXml/itemProps14.xml><?xml version="1.0" encoding="utf-8"?>
<ds:datastoreItem xmlns:ds="http://schemas.openxmlformats.org/officeDocument/2006/customXml" ds:itemID="{6D6F665C-F78C-4785-9AEF-6866DE452784}">
  <ds:schemaRefs/>
</ds:datastoreItem>
</file>

<file path=customXml/itemProps15.xml><?xml version="1.0" encoding="utf-8"?>
<ds:datastoreItem xmlns:ds="http://schemas.openxmlformats.org/officeDocument/2006/customXml" ds:itemID="{F7A7DC3F-B866-4C41-9BF0-C07252E5A875}">
  <ds:schemaRefs/>
</ds:datastoreItem>
</file>

<file path=customXml/itemProps16.xml><?xml version="1.0" encoding="utf-8"?>
<ds:datastoreItem xmlns:ds="http://schemas.openxmlformats.org/officeDocument/2006/customXml" ds:itemID="{E43E2971-316F-463D-B5F4-EB8F9B72E08A}">
  <ds:schemaRefs/>
</ds:datastoreItem>
</file>

<file path=customXml/itemProps17.xml><?xml version="1.0" encoding="utf-8"?>
<ds:datastoreItem xmlns:ds="http://schemas.openxmlformats.org/officeDocument/2006/customXml" ds:itemID="{A40F7FAA-7E39-4D2C-B33F-FB5175241896}">
  <ds:schemaRefs/>
</ds:datastoreItem>
</file>

<file path=customXml/itemProps18.xml><?xml version="1.0" encoding="utf-8"?>
<ds:datastoreItem xmlns:ds="http://schemas.openxmlformats.org/officeDocument/2006/customXml" ds:itemID="{D70DD1DD-2748-4837-B2A7-DE54FD573453}">
  <ds:schemaRefs/>
</ds:datastoreItem>
</file>

<file path=customXml/itemProps19.xml><?xml version="1.0" encoding="utf-8"?>
<ds:datastoreItem xmlns:ds="http://schemas.openxmlformats.org/officeDocument/2006/customXml" ds:itemID="{6305B5D3-B902-4B13-B1BA-A78B8EEDE23A}">
  <ds:schemaRefs/>
</ds:datastoreItem>
</file>

<file path=customXml/itemProps20.xml><?xml version="1.0" encoding="utf-8"?>
<ds:datastoreItem xmlns:ds="http://schemas.openxmlformats.org/officeDocument/2006/customXml" ds:itemID="{1C646B3B-CFCF-4FFA-AA39-E0008C4596E0}">
  <ds:schemaRefs/>
</ds:datastoreItem>
</file>

<file path=customXml/itemProps21.xml><?xml version="1.0" encoding="utf-8"?>
<ds:datastoreItem xmlns:ds="http://schemas.openxmlformats.org/officeDocument/2006/customXml" ds:itemID="{8F94A9B0-F27A-4833-9E05-B0D170B54BE4}">
  <ds:schemaRefs/>
</ds:datastoreItem>
</file>

<file path=customXml/itemProps22.xml><?xml version="1.0" encoding="utf-8"?>
<ds:datastoreItem xmlns:ds="http://schemas.openxmlformats.org/officeDocument/2006/customXml" ds:itemID="{2CB05D03-28F5-4F9C-89D3-628CD09170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TD_Venta_periodo</vt:lpstr>
      <vt:lpstr>TD_Venta_producto</vt:lpstr>
      <vt:lpstr>TD_Venta_cliente</vt:lpstr>
      <vt:lpstr>Ventas</vt:lpstr>
      <vt:lpstr>Dashboard final</vt:lpstr>
      <vt:lpstr>Resumen del escenario</vt:lpstr>
      <vt:lpstr>Escenarios</vt:lpstr>
      <vt:lpstr>Medidas DAX</vt:lpstr>
      <vt:lpstr>Clientes</vt:lpstr>
      <vt:lpstr>Productos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Escobar</dc:creator>
  <cp:lastModifiedBy>Juliana Escobar</cp:lastModifiedBy>
  <dcterms:created xsi:type="dcterms:W3CDTF">2026-09-15T21:19:49Z</dcterms:created>
  <dcterms:modified xsi:type="dcterms:W3CDTF">2026-09-28T13:35:13Z</dcterms:modified>
</cp:coreProperties>
</file>